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minimized="1"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2" i="1"/>
  <c r="D27" i="1"/>
  <c r="D26" i="1"/>
  <c r="D25" i="1"/>
  <c r="D24" i="1"/>
  <c r="D23" i="1"/>
  <c r="D21" i="1"/>
  <c r="D20" i="1"/>
  <c r="D19" i="1"/>
  <c r="J22" i="1"/>
  <c r="D18" i="1"/>
  <c r="D17" i="1"/>
  <c r="D16" i="1"/>
  <c r="D15" i="1"/>
  <c r="D14" i="1"/>
  <c r="D11" i="1"/>
  <c r="D12" i="1" s="1"/>
  <c r="D13" i="1"/>
  <c r="D33" i="1"/>
</calcChain>
</file>

<file path=xl/sharedStrings.xml><?xml version="1.0" encoding="utf-8"?>
<sst xmlns="http://schemas.openxmlformats.org/spreadsheetml/2006/main" count="36" uniqueCount="35">
  <si>
    <t>TextBooks</t>
  </si>
  <si>
    <t>Quantity</t>
  </si>
  <si>
    <t>Cost</t>
  </si>
  <si>
    <t>Discount</t>
  </si>
  <si>
    <t>Revenue</t>
  </si>
  <si>
    <t>Maths</t>
  </si>
  <si>
    <t>English</t>
  </si>
  <si>
    <t>Physics</t>
  </si>
  <si>
    <t>Chemistry</t>
  </si>
  <si>
    <t>Biology</t>
  </si>
  <si>
    <t>Account</t>
  </si>
  <si>
    <t>Economics</t>
  </si>
  <si>
    <t>Sociology</t>
  </si>
  <si>
    <t>count function</t>
  </si>
  <si>
    <t>counta</t>
  </si>
  <si>
    <t>countblank</t>
  </si>
  <si>
    <t>countif</t>
  </si>
  <si>
    <t>AVERAGE</t>
  </si>
  <si>
    <t>AVGIF</t>
  </si>
  <si>
    <t>MEDIAN</t>
  </si>
  <si>
    <t>MODE</t>
  </si>
  <si>
    <t>MOE.MUL</t>
  </si>
  <si>
    <t>STANDEV</t>
  </si>
  <si>
    <t>VARIANCE</t>
  </si>
  <si>
    <t>QUARTILE</t>
  </si>
  <si>
    <t>CORELATION</t>
  </si>
  <si>
    <t>MAX</t>
  </si>
  <si>
    <t>MIN</t>
  </si>
  <si>
    <t>LARGE</t>
  </si>
  <si>
    <t>SMALL</t>
  </si>
  <si>
    <t>VLOOKUP</t>
  </si>
  <si>
    <t>HLOOKUP</t>
  </si>
  <si>
    <t xml:space="preserve"> </t>
  </si>
  <si>
    <t>INDEX&amp;MATCH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</si>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</sst>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topLeftCell="A26" workbookViewId="0">
      <selection activeCell="D29" sqref="D29"/>
    </sheetView>
  </sheetViews>
  <sheetFormatPr defaultRowHeight="14.4" x14ac:dyDescent="0.3"/>
  <cols>
    <col min="1" max="1" width="20.33203125" customWidth="1"/>
    <col min="4" max="4" width="14.88671875" customWidth="1"/>
    <col min="5" max="5" width="11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">
      <c r="A2" t="s">
        <v>5</v>
      </c>
      <c r="B2">
        <v>224</v>
      </c>
      <c r="C2">
        <v>250</v>
      </c>
      <c r="D2" s="2">
        <v>0.2</v>
      </c>
      <c r="E2">
        <v>16050</v>
      </c>
      <c r="F2">
        <v>300</v>
      </c>
    </row>
    <row r="3" spans="1:10" x14ac:dyDescent="0.3">
      <c r="A3" t="s">
        <v>6</v>
      </c>
      <c r="B3">
        <v>321</v>
      </c>
      <c r="C3">
        <v>220</v>
      </c>
      <c r="D3" s="2"/>
      <c r="E3">
        <v>72000</v>
      </c>
      <c r="F3">
        <v>200</v>
      </c>
    </row>
    <row r="4" spans="1:10" x14ac:dyDescent="0.3">
      <c r="A4" t="s">
        <v>7</v>
      </c>
      <c r="B4">
        <v>245</v>
      </c>
      <c r="C4">
        <v>250</v>
      </c>
      <c r="D4" s="2">
        <v>0.15</v>
      </c>
      <c r="E4">
        <v>18000</v>
      </c>
    </row>
    <row r="5" spans="1:10" x14ac:dyDescent="0.3">
      <c r="A5" t="s">
        <v>8</v>
      </c>
      <c r="B5">
        <v>390</v>
      </c>
      <c r="C5">
        <v>220</v>
      </c>
      <c r="D5" s="2">
        <v>0.1</v>
      </c>
      <c r="E5">
        <v>133080</v>
      </c>
    </row>
    <row r="6" spans="1:10" x14ac:dyDescent="0.3">
      <c r="A6" t="s">
        <v>9</v>
      </c>
      <c r="B6">
        <v>280</v>
      </c>
      <c r="C6">
        <v>320</v>
      </c>
      <c r="D6" s="2">
        <v>0.19</v>
      </c>
      <c r="E6">
        <v>13500</v>
      </c>
    </row>
    <row r="7" spans="1:10" x14ac:dyDescent="0.3">
      <c r="A7" t="s">
        <v>10</v>
      </c>
      <c r="B7">
        <v>170</v>
      </c>
      <c r="C7">
        <v>190</v>
      </c>
      <c r="D7" s="2">
        <v>0.25</v>
      </c>
      <c r="E7">
        <v>16000</v>
      </c>
    </row>
    <row r="8" spans="1:10" x14ac:dyDescent="0.3">
      <c r="A8" t="s">
        <v>11</v>
      </c>
      <c r="B8">
        <v>190</v>
      </c>
      <c r="C8">
        <v>180</v>
      </c>
      <c r="D8" s="2"/>
      <c r="E8">
        <v>5760</v>
      </c>
    </row>
    <row r="9" spans="1:10" x14ac:dyDescent="0.3">
      <c r="A9" t="s">
        <v>12</v>
      </c>
      <c r="B9">
        <v>220</v>
      </c>
      <c r="C9">
        <v>190</v>
      </c>
      <c r="D9" s="2">
        <v>0.1</v>
      </c>
      <c r="E9">
        <v>15450</v>
      </c>
    </row>
    <row r="10" spans="1:10" x14ac:dyDescent="0.3">
      <c r="J10">
        <v>100</v>
      </c>
    </row>
    <row r="11" spans="1:10" x14ac:dyDescent="0.3">
      <c r="A11" t="s">
        <v>13</v>
      </c>
      <c r="D11">
        <f>COUNT(D2:D9)</f>
        <v>6</v>
      </c>
      <c r="J11">
        <v>95</v>
      </c>
    </row>
    <row r="12" spans="1:10" x14ac:dyDescent="0.3">
      <c r="A12" t="s">
        <v>14</v>
      </c>
      <c r="D12">
        <f>COUNTA(D2:D11)</f>
        <v>7</v>
      </c>
      <c r="J12">
        <v>90</v>
      </c>
    </row>
    <row r="13" spans="1:10" x14ac:dyDescent="0.3">
      <c r="A13" t="s">
        <v>15</v>
      </c>
      <c r="D13">
        <f>COUNTBLANK(D2:D11)</f>
        <v>3</v>
      </c>
      <c r="J13">
        <v>95</v>
      </c>
    </row>
    <row r="14" spans="1:10" x14ac:dyDescent="0.3">
      <c r="A14" t="s">
        <v>16</v>
      </c>
      <c r="D14">
        <f>COUNTIF(C2:C9,"&gt;="&amp;F2)</f>
        <v>1</v>
      </c>
      <c r="J14">
        <v>95</v>
      </c>
    </row>
    <row r="15" spans="1:10" x14ac:dyDescent="0.3">
      <c r="A15" t="s">
        <v>17</v>
      </c>
      <c r="D15">
        <f>AVERAGE(C2:C9)</f>
        <v>227.5</v>
      </c>
      <c r="J15">
        <v>85</v>
      </c>
    </row>
    <row r="16" spans="1:10" x14ac:dyDescent="0.3">
      <c r="A16" t="s">
        <v>18</v>
      </c>
      <c r="D16">
        <f>AVERAGEIF(C2:C9,"&gt;="&amp;F3)</f>
        <v>252</v>
      </c>
      <c r="J16">
        <v>85</v>
      </c>
    </row>
    <row r="17" spans="1:10" x14ac:dyDescent="0.3">
      <c r="A17" t="s">
        <v>19</v>
      </c>
      <c r="D17">
        <f>MEDIAN(B2:B9)</f>
        <v>234.5</v>
      </c>
      <c r="J17">
        <v>90</v>
      </c>
    </row>
    <row r="18" spans="1:10" x14ac:dyDescent="0.3">
      <c r="A18" t="s">
        <v>20</v>
      </c>
      <c r="D18">
        <f>_xlfn.MODE.SNGL(C2:C9)</f>
        <v>250</v>
      </c>
      <c r="J18">
        <v>100</v>
      </c>
    </row>
    <row r="19" spans="1:10" x14ac:dyDescent="0.3">
      <c r="A19" t="s">
        <v>21</v>
      </c>
      <c r="D19">
        <f>_xlfn.MODE.MULT(C2:C9)</f>
        <v>250</v>
      </c>
      <c r="J19">
        <v>85</v>
      </c>
    </row>
    <row r="20" spans="1:10" x14ac:dyDescent="0.3">
      <c r="A20" t="s">
        <v>22</v>
      </c>
      <c r="D20">
        <f>STDEV(C2:C9)</f>
        <v>45.903625751598938</v>
      </c>
      <c r="J20">
        <v>80</v>
      </c>
    </row>
    <row r="21" spans="1:10" x14ac:dyDescent="0.3">
      <c r="A21" t="s">
        <v>23</v>
      </c>
      <c r="D21">
        <f>VAR(E2:E9)</f>
        <v>1955016542.8571429</v>
      </c>
      <c r="J21">
        <v>100</v>
      </c>
    </row>
    <row r="22" spans="1:10" x14ac:dyDescent="0.3">
      <c r="A22" t="s">
        <v>24</v>
      </c>
      <c r="D22">
        <f>_xlfn.QUARTILE.EXC(E2:E9,1)</f>
        <v>13987.5</v>
      </c>
      <c r="J22">
        <f>_xlfn.MODE.MULT(J10:J21)</f>
        <v>100</v>
      </c>
    </row>
    <row r="23" spans="1:10" x14ac:dyDescent="0.3">
      <c r="A23" t="s">
        <v>25</v>
      </c>
      <c r="D23">
        <f>CORREL(D2:D9,E2:E9)</f>
        <v>-0.53714915168039779</v>
      </c>
    </row>
    <row r="24" spans="1:10" x14ac:dyDescent="0.3">
      <c r="A24" t="s">
        <v>26</v>
      </c>
      <c r="D24">
        <f>MAX(B2:B9)</f>
        <v>390</v>
      </c>
    </row>
    <row r="25" spans="1:10" x14ac:dyDescent="0.3">
      <c r="A25" t="s">
        <v>27</v>
      </c>
      <c r="D25">
        <f>MIN(B2:B9)</f>
        <v>170</v>
      </c>
    </row>
    <row r="26" spans="1:10" x14ac:dyDescent="0.3">
      <c r="A26" t="s">
        <v>28</v>
      </c>
      <c r="D26">
        <f>LARGE(B2:B9,2)</f>
        <v>321</v>
      </c>
    </row>
    <row r="27" spans="1:10" x14ac:dyDescent="0.3">
      <c r="A27" t="s">
        <v>29</v>
      </c>
      <c r="D27">
        <f>SMALL(B2:B9,2)</f>
        <v>190</v>
      </c>
    </row>
    <row r="29" spans="1:10" x14ac:dyDescent="0.3">
      <c r="A29" t="s">
        <v>30</v>
      </c>
      <c r="D29">
        <f>VLOOKUP(A3,A2:E9,2,FALSE)</f>
        <v>321</v>
      </c>
    </row>
    <row r="30" spans="1:10" x14ac:dyDescent="0.3">
      <c r="A30" t="s">
        <v>31</v>
      </c>
      <c r="D30">
        <f>HLOOKUP("TextBooks",A1:E9,3,TRUE)</f>
        <v>72000</v>
      </c>
    </row>
    <row r="31" spans="1:10" x14ac:dyDescent="0.3">
      <c r="A31" t="s">
        <v>30</v>
      </c>
      <c r="D31">
        <f>VLOOKUP("English",A2:E9,3,FALSE)</f>
        <v>220</v>
      </c>
    </row>
    <row r="32" spans="1:10" x14ac:dyDescent="0.3">
      <c r="A32" t="s">
        <v>33</v>
      </c>
      <c r="D32">
        <f>INDEX(B2:B9,MATCH("English",A2:A9,0))</f>
        <v>321</v>
      </c>
    </row>
    <row r="33" spans="1:4" x14ac:dyDescent="0.3">
      <c r="A33" t="s">
        <v>34</v>
      </c>
      <c r="D33" t="e">
        <f ca="1">XLOOKUP("SCIENCE",A2:A9,B2:B9, "not found")</f>
        <v>#NAME?</v>
      </c>
    </row>
    <row r="34" spans="1:4" x14ac:dyDescent="0.3">
      <c r="A34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2026-05-13T04:40:52Z</dcterms:created>
  <dcterms:modified xsi:type="dcterms:W3CDTF">2026-05-15T04:49:44Z</dcterms:modified>
</cp:coreProperties>
</file>