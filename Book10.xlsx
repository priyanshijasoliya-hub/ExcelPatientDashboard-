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minimized="1" xWindow="0" yWindow="0" windowWidth="23040" windowHeight="9072" activeTab="2"/>
  </bookViews>
  <sheets>
    <sheet name="pivot" sheetId="2" r:id="rId1"/>
    <sheet name="Sheet4" sheetId="4" r:id="rId2"/>
    <sheet name="Sheet5" sheetId="5" r:id="rId3"/>
    <sheet name="Sheet1" sheetId="1" r:id="rId4"/>
  </sheets>
  <calcPr calcId="162913"/>
  <pivotCaches>
    <pivotCache cacheId="10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<sst xmlns="http://schemas.openxmlformats.org/spreadsheetml/2006/main" count="247" uniqueCount="120">
  <si>
    <t>Site Code</t>
  </si>
  <si>
    <t>Site Location</t>
  </si>
  <si>
    <t>Site Type</t>
  </si>
  <si>
    <t>Swings</t>
  </si>
  <si>
    <t>Slides</t>
  </si>
  <si>
    <t>Rocker</t>
  </si>
  <si>
    <t>Overall Result</t>
  </si>
  <si>
    <t>Last Check Date</t>
  </si>
  <si>
    <t>Next Check Due</t>
  </si>
  <si>
    <t>Days til next check</t>
  </si>
  <si>
    <t>Overdue?</t>
  </si>
  <si>
    <t>B05/112</t>
  </si>
  <si>
    <t>Hope Valley, BB19 8MK</t>
  </si>
  <si>
    <t>Toddlers</t>
  </si>
  <si>
    <t>Pass</t>
  </si>
  <si>
    <t>-</t>
  </si>
  <si>
    <t>B05/115</t>
  </si>
  <si>
    <t>Yarrow Water Park, BB46 2EW</t>
  </si>
  <si>
    <t>Sand</t>
  </si>
  <si>
    <t>B05/131</t>
  </si>
  <si>
    <t>Edgely Lane, BB2 7FY</t>
  </si>
  <si>
    <t>Adventure</t>
  </si>
  <si>
    <t>Overdue</t>
  </si>
  <si>
    <t>B05/134</t>
  </si>
  <si>
    <t>Rivington Drive, BB19 1JY</t>
  </si>
  <si>
    <t>Mixed</t>
  </si>
  <si>
    <t>Fail</t>
  </si>
  <si>
    <t>B05/135</t>
  </si>
  <si>
    <t>Vimto Raod, BB21 3AZ</t>
  </si>
  <si>
    <t>B05/203</t>
  </si>
  <si>
    <t>Robin Walk, BB9 3WS</t>
  </si>
  <si>
    <t>B05/221</t>
  </si>
  <si>
    <t>Herring Drive, BB15 6FF</t>
  </si>
  <si>
    <t>B05/234</t>
  </si>
  <si>
    <t>Flowery Fields, BB5 9KH</t>
  </si>
  <si>
    <t>B05/341</t>
  </si>
  <si>
    <t>Burnage Close, BB6 8SD</t>
  </si>
  <si>
    <t>B16/113</t>
  </si>
  <si>
    <t>Turley Road, BB38 3EW</t>
  </si>
  <si>
    <t>B16/189</t>
  </si>
  <si>
    <t>Davinia Drive, BB1 3DS</t>
  </si>
  <si>
    <t>B16/442</t>
  </si>
  <si>
    <t>High Lane, BB27 5TY</t>
  </si>
  <si>
    <t>B21/111</t>
  </si>
  <si>
    <t>Darley Dale Walk, BB19 7DF</t>
  </si>
  <si>
    <t>B21/128</t>
  </si>
  <si>
    <t>Harrop Fields, BB23 6CX</t>
  </si>
  <si>
    <t>B21/188</t>
  </si>
  <si>
    <t>Trueman Crescent, BB11 7HH</t>
  </si>
  <si>
    <t>B21/190</t>
  </si>
  <si>
    <t>Pines Close, BB47 7XX</t>
  </si>
  <si>
    <t>B21/224</t>
  </si>
  <si>
    <t>Bradford Close, BB31 8FT</t>
  </si>
  <si>
    <t>B21/346</t>
  </si>
  <si>
    <t>Finchley Road, BB31 9JJ</t>
  </si>
  <si>
    <t>B21/881</t>
  </si>
  <si>
    <t>Grange View, BB16 8FT</t>
  </si>
  <si>
    <t>B54/871</t>
  </si>
  <si>
    <t>Howards Park, BB27 8NB</t>
  </si>
  <si>
    <t>B54/885</t>
  </si>
  <si>
    <t>Wright Raod, BB13 7GG</t>
  </si>
  <si>
    <t>B54/887</t>
  </si>
  <si>
    <t>Barley Close, BB12 9PY</t>
  </si>
  <si>
    <t>B54/889</t>
  </si>
  <si>
    <t>Leyton Drive, BB7 6CV</t>
  </si>
  <si>
    <t>B54/987</t>
  </si>
  <si>
    <t>Flinstone Drive, BB2 8KS</t>
  </si>
  <si>
    <t>B65/131</t>
  </si>
  <si>
    <t>Elton Close, BB12 6DS</t>
  </si>
  <si>
    <t>B65/756</t>
  </si>
  <si>
    <t>Carlisle Walk, BB33 9HH</t>
  </si>
  <si>
    <t>B65/757</t>
  </si>
  <si>
    <t>Winners Lane, BB31 8HJ</t>
  </si>
  <si>
    <t>B65/870</t>
  </si>
  <si>
    <t>Yates Walk, BB19 9FT</t>
  </si>
  <si>
    <t>B65/871</t>
  </si>
  <si>
    <t>Beaufort Gardens, BB8 9HG</t>
  </si>
  <si>
    <t>B65/872</t>
  </si>
  <si>
    <t>Marton Raod, BB17 4YU</t>
  </si>
  <si>
    <t>B65/878</t>
  </si>
  <si>
    <t>Golden Park, BB21 5RD</t>
  </si>
  <si>
    <t>B65/991</t>
  </si>
  <si>
    <t>Thorpe Park, BB11 9JB</t>
  </si>
  <si>
    <t>B65/993</t>
  </si>
  <si>
    <t>Poppy Close, BB18 9HH</t>
  </si>
  <si>
    <t>B65/997</t>
  </si>
  <si>
    <t>Emily Lane, BB39 2WD</t>
  </si>
  <si>
    <t>B81/156</t>
  </si>
  <si>
    <t>Gibble Gabble, BB26 4ED</t>
  </si>
  <si>
    <t>B81/157</t>
  </si>
  <si>
    <t>Langley Road, BB16 5XD</t>
  </si>
  <si>
    <t>B81/222</t>
  </si>
  <si>
    <t>Grange Fields BB9 1HY</t>
  </si>
  <si>
    <t>B81/755</t>
  </si>
  <si>
    <t>Arlington Close, BB9 7SD</t>
  </si>
  <si>
    <t>B81/756</t>
  </si>
  <si>
    <t>Church Fold, BB6 7FF</t>
  </si>
  <si>
    <t>B81/771</t>
  </si>
  <si>
    <t>Ribble Gardens, BB4 7FG</t>
  </si>
  <si>
    <t>B81/777</t>
  </si>
  <si>
    <t>Kielder Drive, BB14 2QW</t>
  </si>
  <si>
    <t>(All)</t>
  </si>
  <si>
    <t>Row Labels</t>
  </si>
  <si>
    <t>Grand Total</t>
  </si>
  <si>
    <t>Count of Days til next check</t>
  </si>
  <si>
    <t>&lt;60</t>
  </si>
  <si>
    <t>60-79</t>
  </si>
  <si>
    <t>80-99</t>
  </si>
  <si>
    <t>100-119</t>
  </si>
  <si>
    <t>120-139</t>
  </si>
  <si>
    <t>140-159</t>
  </si>
  <si>
    <t>160-179</t>
  </si>
  <si>
    <t>180-200</t>
  </si>
  <si>
    <t>A</t>
  </si>
  <si>
    <t>B</t>
  </si>
  <si>
    <t>C</t>
  </si>
  <si>
    <t>D</t>
  </si>
  <si>
    <t>E</t>
  </si>
  <si>
    <t>Name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</si>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</sst>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Sheet5!$B$2:$B$6</c:f>
              <c:numCache>
                <c:formatCode>General</c:formatCode>
                <c:ptCount val="5"/>
                <c:pt idx="0">
                  <c:v>46</c:v>
                </c:pt>
                <c:pt idx="1">
                  <c:v>56</c:v>
                </c:pt>
                <c:pt idx="2">
                  <c:v>78</c:v>
                </c:pt>
                <c:pt idx="3">
                  <c:v>56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5-4310-8D30-7FDCF0665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3897503"/>
        <c:axId val="1913895423"/>
      </c:barChart>
      <c:catAx>
        <c:axId val="191389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895423"/>
        <c:crosses val="autoZero"/>
        <c:auto val="1"/>
        <c:lblAlgn val="ctr"/>
        <c:lblOffset val="100"/>
        <c:noMultiLvlLbl val="0"/>
      </c:catAx>
      <c:valAx>
        <c:axId val="19138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897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Sheet5!$B$1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Sheet5!$A$2:$A$6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Sheet5!$B$2:$B$6</c:f>
              <c:numCache>
                <c:formatCode>General</c:formatCode>
                <c:ptCount val="5"/>
                <c:pt idx="0">
                  <c:v>46</c:v>
                </c:pt>
                <c:pt idx="1">
                  <c:v>56</c:v>
                </c:pt>
                <c:pt idx="2">
                  <c:v>78</c:v>
                </c:pt>
                <c:pt idx="3">
                  <c:v>56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1-48C2-B538-5B28014BF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7</xdr:row>
      <xdr:rowOff>118110</xdr:rowOff>
    </xdr:from>
    <xdr:to>
      <xdr:col>15</xdr:col>
      <xdr:colOff>358140</xdr:colOff>
      <xdr:row>22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</xdr:row>
      <xdr:rowOff>34290</xdr:rowOff>
    </xdr:from>
    <xdr:to>
      <xdr:col>7</xdr:col>
      <xdr:colOff>304800</xdr:colOff>
      <xdr:row>25</xdr:row>
      <xdr:rowOff>34290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58.618519097225" createdVersion="6" refreshedVersion="6" minRefreshableVersion="3" recordCount="41">
  <cacheSource type="worksheet">
    <worksheetSource ref="A1:K42" sheet="Sheet1"/>
  </cacheSource>
  <cacheFields count="11">
    <cacheField name="Site Code" numFmtId="0">
      <sharedItems/>
    </cacheField>
    <cacheField name="Site Location" numFmtId="0">
      <sharedItems count="41">
        <s v="Hope Valley, BB19 8MK"/>
        <s v="Yarrow Water Park, BB46 2EW"/>
        <s v="Edgely Lane, BB2 7FY"/>
        <s v="Rivington Drive, BB19 1JY"/>
        <s v="Vimto Raod, BB21 3AZ"/>
        <s v="Robin Walk, BB9 3WS"/>
        <s v="Herring Drive, BB15 6FF"/>
        <s v="Flowery Fields, BB5 9KH"/>
        <s v="Burnage Close, BB6 8SD"/>
        <s v="Turley Road, BB38 3EW"/>
        <s v="Davinia Drive, BB1 3DS"/>
        <s v="High Lane, BB27 5TY"/>
        <s v="Darley Dale Walk, BB19 7DF"/>
        <s v="Harrop Fields, BB23 6CX"/>
        <s v="Trueman Crescent, BB11 7HH"/>
        <s v="Pines Close, BB47 7XX"/>
        <s v="Bradford Close, BB31 8FT"/>
        <s v="Finchley Road, BB31 9JJ"/>
        <s v="Grange View, BB16 8FT"/>
        <s v="Howards Park, BB27 8NB"/>
        <s v="Wright Raod, BB13 7GG"/>
        <s v="Barley Close, BB12 9PY"/>
        <s v="Leyton Drive, BB7 6CV"/>
        <s v="Flinstone Drive, BB2 8KS"/>
        <s v="Elton Close, BB12 6DS"/>
        <s v="Carlisle Walk, BB33 9HH"/>
        <s v="Winners Lane, BB31 8HJ"/>
        <s v="Yates Walk, BB19 9FT"/>
        <s v="Beaufort Gardens, BB8 9HG"/>
        <s v="Marton Raod, BB17 4YU"/>
        <s v="Golden Park, BB21 5RD"/>
        <s v="Thorpe Park, BB11 9JB"/>
        <s v="Poppy Close, BB18 9HH"/>
        <s v="Emily Lane, BB39 2WD"/>
        <s v="Gibble Gabble, BB26 4ED"/>
        <s v="Langley Road, BB16 5XD"/>
        <s v="Grange Fields BB9 1HY"/>
        <s v="Arlington Close, BB9 7SD"/>
        <s v="Church Fold, BB6 7FF"/>
        <s v="Ribble Gardens, BB4 7FG"/>
        <s v="Kielder Drive, BB14 2QW"/>
      </sharedItems>
    </cacheField>
    <cacheField name="Site Type" numFmtId="0">
      <sharedItems count="4">
        <s v="Toddlers"/>
        <s v="Sand"/>
        <s v="Adventure"/>
        <s v="Mixed"/>
      </sharedItems>
    </cacheField>
    <cacheField name="Swings" numFmtId="0">
      <sharedItems containsSemiMixedTypes="0" containsString="0" containsNumber="1" containsInteger="1" minValue="5" maxValue="9"/>
    </cacheField>
    <cacheField name="Slides" numFmtId="0">
      <sharedItems containsSemiMixedTypes="0" containsString="0" containsNumber="1" containsInteger="1" minValue="4" maxValue="9"/>
    </cacheField>
    <cacheField name="Rocker" numFmtId="0">
      <sharedItems containsSemiMixedTypes="0" containsString="0" containsNumber="1" containsInteger="1" minValue="4" maxValue="9"/>
    </cacheField>
    <cacheField name="Overall Result" numFmtId="0">
      <sharedItems count="2">
        <s v="Pass"/>
        <s v="Fail"/>
      </sharedItems>
    </cacheField>
    <cacheField name="Last Check Date" numFmtId="14">
      <sharedItems containsSemiMixedTypes="0" containsNonDate="0" containsDate="1" containsString="0" minDate="2022-12-03T00:00:00" maxDate="2023-07-28T00:00:00" count="35">
        <d v="2023-06-24T00:00:00"/>
        <d v="2023-04-15T00:00:00"/>
        <d v="2022-12-11T00:00:00"/>
        <d v="2023-07-27T00:00:00"/>
        <d v="2023-03-03T00:00:00"/>
        <d v="2023-07-11T00:00:00"/>
        <d v="2023-03-10T00:00:00"/>
        <d v="2023-03-06T00:00:00"/>
        <d v="2023-05-22T00:00:00"/>
        <d v="2023-06-15T00:00:00"/>
        <d v="2023-07-01T00:00:00"/>
        <d v="2023-05-15T00:00:00"/>
        <d v="2023-02-05T00:00:00"/>
        <d v="2023-04-21T00:00:00"/>
        <d v="2023-03-23T00:00:00"/>
        <d v="2023-06-04T00:00:00"/>
        <d v="2023-03-16T00:00:00"/>
        <d v="2023-03-28T00:00:00"/>
        <d v="2023-06-10T00:00:00"/>
        <d v="2023-06-22T00:00:00"/>
        <d v="2022-12-03T00:00:00"/>
        <d v="2023-03-18T00:00:00"/>
        <d v="2023-03-02T00:00:00"/>
        <d v="2023-05-03T00:00:00"/>
        <d v="2023-02-08T00:00:00"/>
        <d v="2023-07-12T00:00:00"/>
        <d v="2023-05-10T00:00:00"/>
        <d v="2023-04-13T00:00:00"/>
        <d v="2023-01-16T00:00:00"/>
        <d v="2023-02-01T00:00:00"/>
        <d v="2023-01-03T00:00:00"/>
        <d v="2023-05-01T00:00:00"/>
        <d v="2023-06-16T00:00:00"/>
        <d v="2023-03-29T00:00:00"/>
        <d v="2023-07-09T00:00:00"/>
      </sharedItems>
    </cacheField>
    <cacheField name="Next Check Due" numFmtId="14">
      <sharedItems containsSemiMixedTypes="0" containsNonDate="0" containsDate="1" containsString="0" minDate="2023-06-07T00:00:00" maxDate="2024-01-30T00:00:00" count="35">
        <d v="2023-12-27T00:00:00"/>
        <d v="2023-10-18T00:00:00"/>
        <d v="2023-06-15T00:00:00"/>
        <d v="2024-01-29T00:00:00"/>
        <d v="2023-09-05T00:00:00"/>
        <d v="2024-01-13T00:00:00"/>
        <d v="2023-09-12T00:00:00"/>
        <d v="2023-09-08T00:00:00"/>
        <d v="2023-11-24T00:00:00"/>
        <d v="2023-12-18T00:00:00"/>
        <d v="2024-01-03T00:00:00"/>
        <d v="2023-11-17T00:00:00"/>
        <d v="2023-08-10T00:00:00"/>
        <d v="2023-10-24T00:00:00"/>
        <d v="2023-09-25T00:00:00"/>
        <d v="2023-12-07T00:00:00"/>
        <d v="2023-09-18T00:00:00"/>
        <d v="2023-09-30T00:00:00"/>
        <d v="2023-12-13T00:00:00"/>
        <d v="2023-12-25T00:00:00"/>
        <d v="2023-06-07T00:00:00"/>
        <d v="2023-09-20T00:00:00"/>
        <d v="2023-09-04T00:00:00"/>
        <d v="2023-11-05T00:00:00"/>
        <d v="2023-08-13T00:00:00"/>
        <d v="2024-01-14T00:00:00"/>
        <d v="2023-11-12T00:00:00"/>
        <d v="2023-10-16T00:00:00"/>
        <d v="2023-07-21T00:00:00"/>
        <d v="2023-08-06T00:00:00"/>
        <d v="2023-07-08T00:00:00"/>
        <d v="2023-11-03T00:00:00"/>
        <d v="2023-12-19T00:00:00"/>
        <d v="2023-10-01T00:00:00"/>
        <d v="2024-01-11T00:00:00"/>
      </sharedItems>
    </cacheField>
    <cacheField name="Days til next check" numFmtId="0">
      <sharedItems containsSemiMixedTypes="0" containsString="0" containsNumber="1" containsInteger="1" minValue="-40" maxValue="196" count="35">
        <n v="163"/>
        <n v="93"/>
        <n v="-32"/>
        <n v="196"/>
        <n v="50"/>
        <n v="180"/>
        <n v="57"/>
        <n v="53"/>
        <n v="130"/>
        <n v="154"/>
        <n v="170"/>
        <n v="123"/>
        <n v="24"/>
        <n v="99"/>
        <n v="70"/>
        <n v="143"/>
        <n v="63"/>
        <n v="75"/>
        <n v="149"/>
        <n v="161"/>
        <n v="-40"/>
        <n v="65"/>
        <n v="49"/>
        <n v="111"/>
        <n v="27"/>
        <n v="181"/>
        <n v="118"/>
        <n v="91"/>
        <n v="4"/>
        <n v="20"/>
        <n v="-9"/>
        <n v="109"/>
        <n v="155"/>
        <n v="76"/>
        <n v="178"/>
      </sharedItems>
      <fieldGroup base="9">
        <rangePr autoStart="0" autoEnd="0" startNum="60" endNum="200" groupInterval="20"/>
        <groupItems count="9">
          <s v="&lt;60"/>
          <s v="60-79"/>
          <s v="80-99"/>
          <s v="100-119"/>
          <s v="120-139"/>
          <s v="140-159"/>
          <s v="160-179"/>
          <s v="180-200"/>
          <s v="&gt;200"/>
        </groupItems>
      </fieldGroup>
    </cacheField>
    <cacheField name="Overdue?" numFmtId="0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">
  <r>
    <s v="B05/112"/>
    <x v="0"/>
    <x v="0"/>
    <n v="8"/>
    <n v="8"/>
    <n v="8"/>
    <x v="0"/>
    <x v="0"/>
    <x v="0"/>
    <x v="0"/>
    <s v="-"/>
  </r>
  <r>
    <s v="B05/115"/>
    <x v="1"/>
    <x v="1"/>
    <n v="8"/>
    <n v="9"/>
    <n v="8"/>
    <x v="0"/>
    <x v="1"/>
    <x v="1"/>
    <x v="1"/>
    <s v="-"/>
  </r>
  <r>
    <s v="B05/131"/>
    <x v="2"/>
    <x v="2"/>
    <n v="8"/>
    <n v="9"/>
    <n v="8"/>
    <x v="0"/>
    <x v="2"/>
    <x v="2"/>
    <x v="2"/>
    <s v="Overdue"/>
  </r>
  <r>
    <s v="B05/134"/>
    <x v="3"/>
    <x v="3"/>
    <n v="7"/>
    <n v="6"/>
    <n v="7"/>
    <x v="1"/>
    <x v="3"/>
    <x v="3"/>
    <x v="3"/>
    <s v="-"/>
  </r>
  <r>
    <s v="B05/135"/>
    <x v="4"/>
    <x v="1"/>
    <n v="7"/>
    <n v="7"/>
    <n v="8"/>
    <x v="0"/>
    <x v="4"/>
    <x v="4"/>
    <x v="4"/>
    <s v="-"/>
  </r>
  <r>
    <s v="B05/203"/>
    <x v="5"/>
    <x v="1"/>
    <n v="8"/>
    <n v="9"/>
    <n v="8"/>
    <x v="0"/>
    <x v="5"/>
    <x v="5"/>
    <x v="5"/>
    <s v="-"/>
  </r>
  <r>
    <s v="B05/221"/>
    <x v="6"/>
    <x v="0"/>
    <n v="6"/>
    <n v="8"/>
    <n v="7"/>
    <x v="1"/>
    <x v="6"/>
    <x v="6"/>
    <x v="6"/>
    <s v="-"/>
  </r>
  <r>
    <s v="B05/234"/>
    <x v="7"/>
    <x v="1"/>
    <n v="9"/>
    <n v="7"/>
    <n v="9"/>
    <x v="0"/>
    <x v="7"/>
    <x v="7"/>
    <x v="7"/>
    <s v="-"/>
  </r>
  <r>
    <s v="B05/341"/>
    <x v="8"/>
    <x v="0"/>
    <n v="9"/>
    <n v="8"/>
    <n v="8"/>
    <x v="0"/>
    <x v="8"/>
    <x v="8"/>
    <x v="8"/>
    <s v="-"/>
  </r>
  <r>
    <s v="B16/113"/>
    <x v="9"/>
    <x v="1"/>
    <n v="8"/>
    <n v="8"/>
    <n v="9"/>
    <x v="0"/>
    <x v="9"/>
    <x v="9"/>
    <x v="9"/>
    <s v="-"/>
  </r>
  <r>
    <s v="B16/189"/>
    <x v="10"/>
    <x v="2"/>
    <n v="8"/>
    <n v="8"/>
    <n v="7"/>
    <x v="1"/>
    <x v="10"/>
    <x v="10"/>
    <x v="10"/>
    <s v="-"/>
  </r>
  <r>
    <s v="B16/442"/>
    <x v="11"/>
    <x v="1"/>
    <n v="8"/>
    <n v="8"/>
    <n v="9"/>
    <x v="0"/>
    <x v="0"/>
    <x v="0"/>
    <x v="0"/>
    <s v="-"/>
  </r>
  <r>
    <s v="B21/111"/>
    <x v="12"/>
    <x v="3"/>
    <n v="6"/>
    <n v="6"/>
    <n v="5"/>
    <x v="1"/>
    <x v="11"/>
    <x v="11"/>
    <x v="11"/>
    <s v="-"/>
  </r>
  <r>
    <s v="B21/128"/>
    <x v="13"/>
    <x v="1"/>
    <n v="9"/>
    <n v="8"/>
    <n v="8"/>
    <x v="0"/>
    <x v="5"/>
    <x v="5"/>
    <x v="5"/>
    <s v="-"/>
  </r>
  <r>
    <s v="B21/188"/>
    <x v="14"/>
    <x v="2"/>
    <n v="7"/>
    <n v="9"/>
    <n v="8"/>
    <x v="0"/>
    <x v="12"/>
    <x v="12"/>
    <x v="12"/>
    <s v="-"/>
  </r>
  <r>
    <s v="B21/190"/>
    <x v="15"/>
    <x v="2"/>
    <n v="9"/>
    <n v="8"/>
    <n v="8"/>
    <x v="0"/>
    <x v="13"/>
    <x v="13"/>
    <x v="13"/>
    <s v="-"/>
  </r>
  <r>
    <s v="B21/224"/>
    <x v="16"/>
    <x v="0"/>
    <n v="9"/>
    <n v="8"/>
    <n v="9"/>
    <x v="0"/>
    <x v="14"/>
    <x v="14"/>
    <x v="14"/>
    <s v="-"/>
  </r>
  <r>
    <s v="B21/346"/>
    <x v="17"/>
    <x v="3"/>
    <n v="9"/>
    <n v="9"/>
    <n v="9"/>
    <x v="0"/>
    <x v="15"/>
    <x v="15"/>
    <x v="15"/>
    <s v="-"/>
  </r>
  <r>
    <s v="B21/881"/>
    <x v="18"/>
    <x v="2"/>
    <n v="9"/>
    <n v="9"/>
    <n v="9"/>
    <x v="0"/>
    <x v="16"/>
    <x v="16"/>
    <x v="16"/>
    <s v="-"/>
  </r>
  <r>
    <s v="B54/871"/>
    <x v="19"/>
    <x v="2"/>
    <n v="7"/>
    <n v="8"/>
    <n v="7"/>
    <x v="1"/>
    <x v="15"/>
    <x v="15"/>
    <x v="15"/>
    <s v="-"/>
  </r>
  <r>
    <s v="B54/885"/>
    <x v="20"/>
    <x v="0"/>
    <n v="7"/>
    <n v="7"/>
    <n v="8"/>
    <x v="0"/>
    <x v="8"/>
    <x v="8"/>
    <x v="8"/>
    <s v="-"/>
  </r>
  <r>
    <s v="B54/887"/>
    <x v="21"/>
    <x v="0"/>
    <n v="7"/>
    <n v="9"/>
    <n v="8"/>
    <x v="0"/>
    <x v="17"/>
    <x v="17"/>
    <x v="17"/>
    <s v="-"/>
  </r>
  <r>
    <s v="B54/889"/>
    <x v="22"/>
    <x v="2"/>
    <n v="7"/>
    <n v="4"/>
    <n v="8"/>
    <x v="1"/>
    <x v="18"/>
    <x v="18"/>
    <x v="18"/>
    <s v="-"/>
  </r>
  <r>
    <s v="B54/987"/>
    <x v="23"/>
    <x v="3"/>
    <n v="8"/>
    <n v="9"/>
    <n v="9"/>
    <x v="0"/>
    <x v="19"/>
    <x v="19"/>
    <x v="19"/>
    <s v="-"/>
  </r>
  <r>
    <s v="B65/131"/>
    <x v="24"/>
    <x v="1"/>
    <n v="9"/>
    <n v="8"/>
    <n v="9"/>
    <x v="0"/>
    <x v="20"/>
    <x v="20"/>
    <x v="20"/>
    <s v="Overdue"/>
  </r>
  <r>
    <s v="B65/756"/>
    <x v="25"/>
    <x v="3"/>
    <n v="5"/>
    <n v="8"/>
    <n v="4"/>
    <x v="1"/>
    <x v="21"/>
    <x v="21"/>
    <x v="21"/>
    <s v="-"/>
  </r>
  <r>
    <s v="B65/757"/>
    <x v="26"/>
    <x v="1"/>
    <n v="9"/>
    <n v="8"/>
    <n v="9"/>
    <x v="0"/>
    <x v="22"/>
    <x v="22"/>
    <x v="22"/>
    <s v="-"/>
  </r>
  <r>
    <s v="B65/870"/>
    <x v="27"/>
    <x v="0"/>
    <n v="9"/>
    <n v="9"/>
    <n v="8"/>
    <x v="0"/>
    <x v="23"/>
    <x v="23"/>
    <x v="23"/>
    <s v="-"/>
  </r>
  <r>
    <s v="B65/871"/>
    <x v="28"/>
    <x v="2"/>
    <n v="6"/>
    <n v="8"/>
    <n v="7"/>
    <x v="1"/>
    <x v="24"/>
    <x v="24"/>
    <x v="24"/>
    <s v="-"/>
  </r>
  <r>
    <s v="B65/872"/>
    <x v="29"/>
    <x v="2"/>
    <n v="7"/>
    <n v="8"/>
    <n v="9"/>
    <x v="0"/>
    <x v="25"/>
    <x v="25"/>
    <x v="25"/>
    <s v="-"/>
  </r>
  <r>
    <s v="B65/878"/>
    <x v="30"/>
    <x v="2"/>
    <n v="6"/>
    <n v="6"/>
    <n v="6"/>
    <x v="1"/>
    <x v="26"/>
    <x v="26"/>
    <x v="26"/>
    <s v="-"/>
  </r>
  <r>
    <s v="B65/991"/>
    <x v="31"/>
    <x v="2"/>
    <n v="7"/>
    <n v="8"/>
    <n v="8"/>
    <x v="0"/>
    <x v="27"/>
    <x v="27"/>
    <x v="27"/>
    <s v="-"/>
  </r>
  <r>
    <s v="B65/993"/>
    <x v="32"/>
    <x v="1"/>
    <n v="8"/>
    <n v="6"/>
    <n v="8"/>
    <x v="1"/>
    <x v="11"/>
    <x v="11"/>
    <x v="11"/>
    <s v="-"/>
  </r>
  <r>
    <s v="B65/997"/>
    <x v="33"/>
    <x v="3"/>
    <n v="5"/>
    <n v="7"/>
    <n v="7"/>
    <x v="1"/>
    <x v="28"/>
    <x v="28"/>
    <x v="28"/>
    <s v="-"/>
  </r>
  <r>
    <s v="B81/156"/>
    <x v="34"/>
    <x v="2"/>
    <n v="8"/>
    <n v="8"/>
    <n v="8"/>
    <x v="0"/>
    <x v="29"/>
    <x v="29"/>
    <x v="29"/>
    <s v="-"/>
  </r>
  <r>
    <s v="B81/157"/>
    <x v="35"/>
    <x v="0"/>
    <n v="8"/>
    <n v="8"/>
    <n v="6"/>
    <x v="1"/>
    <x v="30"/>
    <x v="30"/>
    <x v="30"/>
    <s v="Overdue"/>
  </r>
  <r>
    <s v="B81/222"/>
    <x v="36"/>
    <x v="0"/>
    <n v="9"/>
    <n v="8"/>
    <n v="8"/>
    <x v="0"/>
    <x v="31"/>
    <x v="31"/>
    <x v="31"/>
    <s v="-"/>
  </r>
  <r>
    <s v="B81/755"/>
    <x v="37"/>
    <x v="0"/>
    <n v="8"/>
    <n v="9"/>
    <n v="7"/>
    <x v="1"/>
    <x v="32"/>
    <x v="32"/>
    <x v="32"/>
    <s v="-"/>
  </r>
  <r>
    <s v="B81/756"/>
    <x v="38"/>
    <x v="1"/>
    <n v="8"/>
    <n v="9"/>
    <n v="8"/>
    <x v="0"/>
    <x v="33"/>
    <x v="33"/>
    <x v="33"/>
    <s v="-"/>
  </r>
  <r>
    <s v="B81/771"/>
    <x v="39"/>
    <x v="1"/>
    <n v="7"/>
    <n v="8"/>
    <n v="9"/>
    <x v="0"/>
    <x v="27"/>
    <x v="27"/>
    <x v="27"/>
    <s v="-"/>
  </r>
  <r>
    <s v="B81/777"/>
    <x v="40"/>
    <x v="3"/>
    <n v="6"/>
    <n v="4"/>
    <n v="7"/>
    <x v="1"/>
    <x v="34"/>
    <x v="34"/>
    <x v="34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8" cacheId="10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:B10" firstHeaderRow="1" firstDataRow="1" firstDataCol="1" rowPageCount="3" colPageCount="1"/>
  <pivotFields count="11">
    <pivotField showAll="0"/>
    <pivotField axis="axisPage" showAll="0">
      <items count="42">
        <item x="37"/>
        <item x="21"/>
        <item x="28"/>
        <item x="16"/>
        <item x="8"/>
        <item x="25"/>
        <item x="38"/>
        <item x="12"/>
        <item x="10"/>
        <item x="2"/>
        <item x="24"/>
        <item x="33"/>
        <item x="17"/>
        <item x="23"/>
        <item x="7"/>
        <item x="34"/>
        <item x="30"/>
        <item x="36"/>
        <item x="18"/>
        <item x="13"/>
        <item x="6"/>
        <item x="11"/>
        <item x="0"/>
        <item x="19"/>
        <item x="40"/>
        <item x="35"/>
        <item x="22"/>
        <item x="29"/>
        <item x="15"/>
        <item x="32"/>
        <item x="39"/>
        <item x="3"/>
        <item x="5"/>
        <item x="31"/>
        <item x="14"/>
        <item x="9"/>
        <item x="4"/>
        <item x="26"/>
        <item x="20"/>
        <item x="1"/>
        <item x="27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numFmtId="14" showAll="0"/>
    <pivotField axis="axisPage" numFmtId="14" showAll="0">
      <items count="36">
        <item x="20"/>
        <item x="2"/>
        <item x="30"/>
        <item x="28"/>
        <item x="29"/>
        <item x="12"/>
        <item x="24"/>
        <item x="22"/>
        <item x="4"/>
        <item x="7"/>
        <item x="6"/>
        <item x="16"/>
        <item x="21"/>
        <item x="14"/>
        <item x="17"/>
        <item x="33"/>
        <item x="27"/>
        <item x="1"/>
        <item x="13"/>
        <item x="31"/>
        <item x="23"/>
        <item x="26"/>
        <item x="11"/>
        <item x="8"/>
        <item x="15"/>
        <item x="18"/>
        <item x="9"/>
        <item x="32"/>
        <item x="19"/>
        <item x="0"/>
        <item x="10"/>
        <item x="34"/>
        <item x="5"/>
        <item x="25"/>
        <item x="3"/>
        <item t="default"/>
      </items>
    </pivotField>
    <pivotField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8" hier="-1"/>
    <pageField fld="1" hier="-1"/>
    <pageField fld="6" hier="-1"/>
  </pageFields>
  <dataFields count="1">
    <dataField name="Count of Days til next check" fld="9" subtotal="count" showDataAs="percentDiff" baseField="2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9" cacheId="102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 chartFormat="1">
  <location ref="A3:B12" firstHeaderRow="1" firstDataRow="1" firstDataCol="1"/>
  <pivotFields count="11">
    <pivotField showAll="0"/>
    <pivotField showAll="0"/>
    <pivotField showAll="0">
      <items count="5">
        <item h="1" x="2"/>
        <item x="3"/>
        <item x="1"/>
        <item h="1" x="0"/>
        <item t="default"/>
      </items>
    </pivotField>
    <pivotField showAll="0"/>
    <pivotField showAll="0"/>
    <pivotField showAll="0"/>
    <pivotField showAll="0"/>
    <pivotField numFmtId="14" showAll="0">
      <items count="36">
        <item x="20"/>
        <item x="2"/>
        <item x="30"/>
        <item x="28"/>
        <item x="29"/>
        <item x="12"/>
        <item x="24"/>
        <item x="22"/>
        <item x="4"/>
        <item x="7"/>
        <item x="6"/>
        <item x="16"/>
        <item x="21"/>
        <item x="14"/>
        <item x="17"/>
        <item x="33"/>
        <item x="27"/>
        <item x="1"/>
        <item x="13"/>
        <item x="31"/>
        <item x="23"/>
        <item x="26"/>
        <item x="11"/>
        <item x="8"/>
        <item x="15"/>
        <item x="18"/>
        <item x="9"/>
        <item x="32"/>
        <item x="19"/>
        <item x="0"/>
        <item x="10"/>
        <item x="34"/>
        <item x="5"/>
        <item x="25"/>
        <item x="3"/>
        <item t="default"/>
      </items>
    </pivotField>
    <pivotField numFmtId="14" showAll="0"/>
    <pivotField axis="axisRow"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Days til next check" fld="9" subtotal="count" baseField="9" baseItem="0"/>
  </dataFields>
  <pivotTableStyleInfo name="PivotStyleLight16" showRowHeaders="1" showColHeaders="1" showRowStripes="0" showColStripes="0" showLastColumn="1"/>
  <filters count="1">
    <filter fld="7" type="dateBetween" evalOrder="-1" id="6" name="Last Check Date">
      <autoFilter ref="A1">
        <filterColumn colId="0">
          <customFilters and="1">
            <customFilter operator="greaterThanOrEqual" val="44743"/>
            <customFilter operator="lessThanOrEqual" val="451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8" sqref="B8"/>
    </sheetView>
  </sheetViews>
  <sheetFormatPr defaultRowHeight="14.4" x14ac:dyDescent="0.3"/>
  <cols>
    <col min="1" max="1" width="14" bestFit="1" customWidth="1"/>
    <col min="2" max="2" width="24.5546875" customWidth="1"/>
  </cols>
  <sheetData>
    <row r="1" spans="1:2" x14ac:dyDescent="0.3">
      <c r="A1" s="2" t="s">
        <v>8</v>
      </c>
      <c r="B1" t="s">
        <v>101</v>
      </c>
    </row>
    <row r="2" spans="1:2" x14ac:dyDescent="0.3">
      <c r="A2" s="2" t="s">
        <v>1</v>
      </c>
      <c r="B2" t="s">
        <v>101</v>
      </c>
    </row>
    <row r="3" spans="1:2" x14ac:dyDescent="0.3">
      <c r="A3" s="2" t="s">
        <v>6</v>
      </c>
      <c r="B3" t="s">
        <v>101</v>
      </c>
    </row>
    <row r="5" spans="1:2" x14ac:dyDescent="0.3">
      <c r="A5" s="2" t="s">
        <v>102</v>
      </c>
      <c r="B5" t="s">
        <v>104</v>
      </c>
    </row>
    <row r="6" spans="1:2" x14ac:dyDescent="0.3">
      <c r="A6" s="3" t="s">
        <v>21</v>
      </c>
      <c r="B6" s="5">
        <v>0.7142857142857143</v>
      </c>
    </row>
    <row r="7" spans="1:2" x14ac:dyDescent="0.3">
      <c r="A7" s="3" t="s">
        <v>25</v>
      </c>
      <c r="B7" s="5"/>
    </row>
    <row r="8" spans="1:2" x14ac:dyDescent="0.3">
      <c r="A8" s="3" t="s">
        <v>18</v>
      </c>
      <c r="B8" s="5">
        <v>0.7142857142857143</v>
      </c>
    </row>
    <row r="9" spans="1:2" x14ac:dyDescent="0.3">
      <c r="A9" s="3" t="s">
        <v>13</v>
      </c>
      <c r="B9" s="5">
        <v>0.42857142857142855</v>
      </c>
    </row>
    <row r="10" spans="1:2" x14ac:dyDescent="0.3">
      <c r="A10" s="3" t="s">
        <v>103</v>
      </c>
      <c r="B1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topLeftCell="A3"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24.5546875" bestFit="1" customWidth="1"/>
  </cols>
  <sheetData>
    <row r="3" spans="1:2" x14ac:dyDescent="0.3">
      <c r="A3" s="2" t="s">
        <v>102</v>
      </c>
      <c r="B3" t="s">
        <v>104</v>
      </c>
    </row>
    <row r="4" spans="1:2" x14ac:dyDescent="0.3">
      <c r="A4" s="3" t="s">
        <v>105</v>
      </c>
      <c r="B4" s="4">
        <v>11</v>
      </c>
    </row>
    <row r="5" spans="1:2" x14ac:dyDescent="0.3">
      <c r="A5" s="3" t="s">
        <v>106</v>
      </c>
      <c r="B5" s="4">
        <v>5</v>
      </c>
    </row>
    <row r="6" spans="1:2" x14ac:dyDescent="0.3">
      <c r="A6" s="3" t="s">
        <v>107</v>
      </c>
      <c r="B6" s="4">
        <v>4</v>
      </c>
    </row>
    <row r="7" spans="1:2" x14ac:dyDescent="0.3">
      <c r="A7" s="3" t="s">
        <v>108</v>
      </c>
      <c r="B7" s="4">
        <v>3</v>
      </c>
    </row>
    <row r="8" spans="1:2" x14ac:dyDescent="0.3">
      <c r="A8" s="3" t="s">
        <v>109</v>
      </c>
      <c r="B8" s="4">
        <v>4</v>
      </c>
    </row>
    <row r="9" spans="1:2" x14ac:dyDescent="0.3">
      <c r="A9" s="3" t="s">
        <v>110</v>
      </c>
      <c r="B9" s="4">
        <v>5</v>
      </c>
    </row>
    <row r="10" spans="1:2" x14ac:dyDescent="0.3">
      <c r="A10" s="3" t="s">
        <v>111</v>
      </c>
      <c r="B10" s="4">
        <v>5</v>
      </c>
    </row>
    <row r="11" spans="1:2" x14ac:dyDescent="0.3">
      <c r="A11" s="3" t="s">
        <v>112</v>
      </c>
      <c r="B11" s="4">
        <v>4</v>
      </c>
    </row>
    <row r="12" spans="1:2" x14ac:dyDescent="0.3">
      <c r="A12" s="3" t="s">
        <v>103</v>
      </c>
      <c r="B12" s="4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G1" sqref="G1"/>
    </sheetView>
  </sheetViews>
  <sheetFormatPr defaultRowHeight="14.4" x14ac:dyDescent="0.3"/>
  <sheetData>
    <row r="1" spans="1:2" x14ac:dyDescent="0.3">
      <c r="A1" s="6" t="s">
        <v>118</v>
      </c>
      <c r="B1" s="6" t="s">
        <v>119</v>
      </c>
    </row>
    <row r="2" spans="1:2" x14ac:dyDescent="0.3">
      <c r="A2" t="s">
        <v>113</v>
      </c>
      <c r="B2">
        <v>46</v>
      </c>
    </row>
    <row r="3" spans="1:2" x14ac:dyDescent="0.3">
      <c r="A3" t="s">
        <v>114</v>
      </c>
      <c r="B3">
        <v>56</v>
      </c>
    </row>
    <row r="4" spans="1:2" x14ac:dyDescent="0.3">
      <c r="A4" t="s">
        <v>115</v>
      </c>
      <c r="B4">
        <v>78</v>
      </c>
    </row>
    <row r="5" spans="1:2" x14ac:dyDescent="0.3">
      <c r="A5" t="s">
        <v>116</v>
      </c>
      <c r="B5">
        <v>56</v>
      </c>
    </row>
    <row r="6" spans="1:2" x14ac:dyDescent="0.3">
      <c r="A6" t="s">
        <v>117</v>
      </c>
      <c r="B6">
        <v>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selection sqref="A1:K4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8</v>
      </c>
      <c r="E2">
        <v>8</v>
      </c>
      <c r="F2">
        <v>8</v>
      </c>
      <c r="G2" t="s">
        <v>14</v>
      </c>
      <c r="H2" s="1">
        <v>45101</v>
      </c>
      <c r="I2" s="1">
        <v>45287</v>
      </c>
      <c r="J2">
        <v>163</v>
      </c>
      <c r="K2" t="s">
        <v>15</v>
      </c>
    </row>
    <row r="3" spans="1:11" x14ac:dyDescent="0.3">
      <c r="A3" t="s">
        <v>16</v>
      </c>
      <c r="B3" t="s">
        <v>17</v>
      </c>
      <c r="C3" t="s">
        <v>18</v>
      </c>
      <c r="D3">
        <v>8</v>
      </c>
      <c r="E3">
        <v>9</v>
      </c>
      <c r="F3">
        <v>8</v>
      </c>
      <c r="G3" t="s">
        <v>14</v>
      </c>
      <c r="H3" s="1">
        <v>45031</v>
      </c>
      <c r="I3" s="1">
        <v>45217</v>
      </c>
      <c r="J3">
        <v>93</v>
      </c>
      <c r="K3" t="s">
        <v>15</v>
      </c>
    </row>
    <row r="4" spans="1:11" x14ac:dyDescent="0.3">
      <c r="A4" t="s">
        <v>19</v>
      </c>
      <c r="B4" t="s">
        <v>20</v>
      </c>
      <c r="C4" t="s">
        <v>21</v>
      </c>
      <c r="D4">
        <v>8</v>
      </c>
      <c r="E4">
        <v>9</v>
      </c>
      <c r="F4">
        <v>8</v>
      </c>
      <c r="G4" t="s">
        <v>14</v>
      </c>
      <c r="H4" s="1">
        <v>44906</v>
      </c>
      <c r="I4" s="1">
        <v>45092</v>
      </c>
      <c r="J4">
        <v>-32</v>
      </c>
      <c r="K4" t="s">
        <v>22</v>
      </c>
    </row>
    <row r="5" spans="1:11" x14ac:dyDescent="0.3">
      <c r="A5" t="s">
        <v>23</v>
      </c>
      <c r="B5" t="s">
        <v>24</v>
      </c>
      <c r="C5" t="s">
        <v>25</v>
      </c>
      <c r="D5">
        <v>7</v>
      </c>
      <c r="E5">
        <v>6</v>
      </c>
      <c r="F5">
        <v>7</v>
      </c>
      <c r="G5" t="s">
        <v>26</v>
      </c>
      <c r="H5" s="1">
        <v>45134</v>
      </c>
      <c r="I5" s="1">
        <v>45320</v>
      </c>
      <c r="J5">
        <v>196</v>
      </c>
      <c r="K5" t="s">
        <v>15</v>
      </c>
    </row>
    <row r="6" spans="1:11" x14ac:dyDescent="0.3">
      <c r="A6" t="s">
        <v>27</v>
      </c>
      <c r="B6" t="s">
        <v>28</v>
      </c>
      <c r="C6" t="s">
        <v>18</v>
      </c>
      <c r="D6">
        <v>7</v>
      </c>
      <c r="E6">
        <v>7</v>
      </c>
      <c r="F6">
        <v>8</v>
      </c>
      <c r="G6" t="s">
        <v>14</v>
      </c>
      <c r="H6" s="1">
        <v>44988</v>
      </c>
      <c r="I6" s="1">
        <v>45174</v>
      </c>
      <c r="J6">
        <v>50</v>
      </c>
      <c r="K6" t="s">
        <v>15</v>
      </c>
    </row>
    <row r="7" spans="1:11" x14ac:dyDescent="0.3">
      <c r="A7" t="s">
        <v>29</v>
      </c>
      <c r="B7" t="s">
        <v>30</v>
      </c>
      <c r="C7" t="s">
        <v>18</v>
      </c>
      <c r="D7">
        <v>8</v>
      </c>
      <c r="E7">
        <v>9</v>
      </c>
      <c r="F7">
        <v>8</v>
      </c>
      <c r="G7" t="s">
        <v>14</v>
      </c>
      <c r="H7" s="1">
        <v>45118</v>
      </c>
      <c r="I7" s="1">
        <v>45304</v>
      </c>
      <c r="J7">
        <v>180</v>
      </c>
      <c r="K7" t="s">
        <v>15</v>
      </c>
    </row>
    <row r="8" spans="1:11" x14ac:dyDescent="0.3">
      <c r="A8" t="s">
        <v>31</v>
      </c>
      <c r="B8" t="s">
        <v>32</v>
      </c>
      <c r="C8" t="s">
        <v>13</v>
      </c>
      <c r="D8">
        <v>6</v>
      </c>
      <c r="E8">
        <v>8</v>
      </c>
      <c r="F8">
        <v>7</v>
      </c>
      <c r="G8" t="s">
        <v>26</v>
      </c>
      <c r="H8" s="1">
        <v>44995</v>
      </c>
      <c r="I8" s="1">
        <v>45181</v>
      </c>
      <c r="J8">
        <v>57</v>
      </c>
      <c r="K8" t="s">
        <v>15</v>
      </c>
    </row>
    <row r="9" spans="1:11" x14ac:dyDescent="0.3">
      <c r="A9" t="s">
        <v>33</v>
      </c>
      <c r="B9" t="s">
        <v>34</v>
      </c>
      <c r="C9" t="s">
        <v>18</v>
      </c>
      <c r="D9">
        <v>9</v>
      </c>
      <c r="E9">
        <v>7</v>
      </c>
      <c r="F9">
        <v>9</v>
      </c>
      <c r="G9" t="s">
        <v>14</v>
      </c>
      <c r="H9" s="1">
        <v>44991</v>
      </c>
      <c r="I9" s="1">
        <v>45177</v>
      </c>
      <c r="J9">
        <v>53</v>
      </c>
      <c r="K9" t="s">
        <v>15</v>
      </c>
    </row>
    <row r="10" spans="1:11" x14ac:dyDescent="0.3">
      <c r="A10" t="s">
        <v>35</v>
      </c>
      <c r="B10" t="s">
        <v>36</v>
      </c>
      <c r="C10" t="s">
        <v>13</v>
      </c>
      <c r="D10">
        <v>9</v>
      </c>
      <c r="E10">
        <v>8</v>
      </c>
      <c r="F10">
        <v>8</v>
      </c>
      <c r="G10" t="s">
        <v>14</v>
      </c>
      <c r="H10" s="1">
        <v>45068</v>
      </c>
      <c r="I10" s="1">
        <v>45254</v>
      </c>
      <c r="J10">
        <v>130</v>
      </c>
      <c r="K10" t="s">
        <v>15</v>
      </c>
    </row>
    <row r="11" spans="1:11" x14ac:dyDescent="0.3">
      <c r="A11" t="s">
        <v>37</v>
      </c>
      <c r="B11" t="s">
        <v>38</v>
      </c>
      <c r="C11" t="s">
        <v>18</v>
      </c>
      <c r="D11">
        <v>8</v>
      </c>
      <c r="E11">
        <v>8</v>
      </c>
      <c r="F11">
        <v>9</v>
      </c>
      <c r="G11" t="s">
        <v>14</v>
      </c>
      <c r="H11" s="1">
        <v>45092</v>
      </c>
      <c r="I11" s="1">
        <v>45278</v>
      </c>
      <c r="J11">
        <v>154</v>
      </c>
      <c r="K11" t="s">
        <v>15</v>
      </c>
    </row>
    <row r="12" spans="1:11" x14ac:dyDescent="0.3">
      <c r="A12" t="s">
        <v>39</v>
      </c>
      <c r="B12" t="s">
        <v>40</v>
      </c>
      <c r="C12" t="s">
        <v>21</v>
      </c>
      <c r="D12">
        <v>8</v>
      </c>
      <c r="E12">
        <v>8</v>
      </c>
      <c r="F12">
        <v>7</v>
      </c>
      <c r="G12" t="s">
        <v>26</v>
      </c>
      <c r="H12" s="1">
        <v>45108</v>
      </c>
      <c r="I12" s="1">
        <v>45294</v>
      </c>
      <c r="J12">
        <v>170</v>
      </c>
      <c r="K12" t="s">
        <v>15</v>
      </c>
    </row>
    <row r="13" spans="1:11" x14ac:dyDescent="0.3">
      <c r="A13" t="s">
        <v>41</v>
      </c>
      <c r="B13" t="s">
        <v>42</v>
      </c>
      <c r="C13" t="s">
        <v>18</v>
      </c>
      <c r="D13">
        <v>8</v>
      </c>
      <c r="E13">
        <v>8</v>
      </c>
      <c r="F13">
        <v>9</v>
      </c>
      <c r="G13" t="s">
        <v>14</v>
      </c>
      <c r="H13" s="1">
        <v>45101</v>
      </c>
      <c r="I13" s="1">
        <v>45287</v>
      </c>
      <c r="J13">
        <v>163</v>
      </c>
      <c r="K13" t="s">
        <v>15</v>
      </c>
    </row>
    <row r="14" spans="1:11" x14ac:dyDescent="0.3">
      <c r="A14" t="s">
        <v>43</v>
      </c>
      <c r="B14" t="s">
        <v>44</v>
      </c>
      <c r="C14" t="s">
        <v>25</v>
      </c>
      <c r="D14">
        <v>6</v>
      </c>
      <c r="E14">
        <v>6</v>
      </c>
      <c r="F14">
        <v>5</v>
      </c>
      <c r="G14" t="s">
        <v>26</v>
      </c>
      <c r="H14" s="1">
        <v>45061</v>
      </c>
      <c r="I14" s="1">
        <v>45247</v>
      </c>
      <c r="J14">
        <v>123</v>
      </c>
      <c r="K14" t="s">
        <v>15</v>
      </c>
    </row>
    <row r="15" spans="1:11" x14ac:dyDescent="0.3">
      <c r="A15" t="s">
        <v>45</v>
      </c>
      <c r="B15" t="s">
        <v>46</v>
      </c>
      <c r="C15" t="s">
        <v>18</v>
      </c>
      <c r="D15">
        <v>9</v>
      </c>
      <c r="E15">
        <v>8</v>
      </c>
      <c r="F15">
        <v>8</v>
      </c>
      <c r="G15" t="s">
        <v>14</v>
      </c>
      <c r="H15" s="1">
        <v>45118</v>
      </c>
      <c r="I15" s="1">
        <v>45304</v>
      </c>
      <c r="J15">
        <v>180</v>
      </c>
      <c r="K15" t="s">
        <v>15</v>
      </c>
    </row>
    <row r="16" spans="1:11" x14ac:dyDescent="0.3">
      <c r="A16" t="s">
        <v>47</v>
      </c>
      <c r="B16" t="s">
        <v>48</v>
      </c>
      <c r="C16" t="s">
        <v>21</v>
      </c>
      <c r="D16">
        <v>7</v>
      </c>
      <c r="E16">
        <v>9</v>
      </c>
      <c r="F16">
        <v>8</v>
      </c>
      <c r="G16" t="s">
        <v>14</v>
      </c>
      <c r="H16" s="1">
        <v>44962</v>
      </c>
      <c r="I16" s="1">
        <v>45148</v>
      </c>
      <c r="J16">
        <v>24</v>
      </c>
      <c r="K16" t="s">
        <v>15</v>
      </c>
    </row>
    <row r="17" spans="1:11" x14ac:dyDescent="0.3">
      <c r="A17" t="s">
        <v>49</v>
      </c>
      <c r="B17" t="s">
        <v>50</v>
      </c>
      <c r="C17" t="s">
        <v>21</v>
      </c>
      <c r="D17">
        <v>9</v>
      </c>
      <c r="E17">
        <v>8</v>
      </c>
      <c r="F17">
        <v>8</v>
      </c>
      <c r="G17" t="s">
        <v>14</v>
      </c>
      <c r="H17" s="1">
        <v>45037</v>
      </c>
      <c r="I17" s="1">
        <v>45223</v>
      </c>
      <c r="J17">
        <v>99</v>
      </c>
      <c r="K17" t="s">
        <v>15</v>
      </c>
    </row>
    <row r="18" spans="1:11" x14ac:dyDescent="0.3">
      <c r="A18" t="s">
        <v>51</v>
      </c>
      <c r="B18" t="s">
        <v>52</v>
      </c>
      <c r="C18" t="s">
        <v>13</v>
      </c>
      <c r="D18">
        <v>9</v>
      </c>
      <c r="E18">
        <v>8</v>
      </c>
      <c r="F18">
        <v>9</v>
      </c>
      <c r="G18" t="s">
        <v>14</v>
      </c>
      <c r="H18" s="1">
        <v>45008</v>
      </c>
      <c r="I18" s="1">
        <v>45194</v>
      </c>
      <c r="J18">
        <v>70</v>
      </c>
      <c r="K18" t="s">
        <v>15</v>
      </c>
    </row>
    <row r="19" spans="1:11" x14ac:dyDescent="0.3">
      <c r="A19" t="s">
        <v>53</v>
      </c>
      <c r="B19" t="s">
        <v>54</v>
      </c>
      <c r="C19" t="s">
        <v>25</v>
      </c>
      <c r="D19">
        <v>9</v>
      </c>
      <c r="E19">
        <v>9</v>
      </c>
      <c r="F19">
        <v>9</v>
      </c>
      <c r="G19" t="s">
        <v>14</v>
      </c>
      <c r="H19" s="1">
        <v>45081</v>
      </c>
      <c r="I19" s="1">
        <v>45267</v>
      </c>
      <c r="J19">
        <v>143</v>
      </c>
      <c r="K19" t="s">
        <v>15</v>
      </c>
    </row>
    <row r="20" spans="1:11" x14ac:dyDescent="0.3">
      <c r="A20" t="s">
        <v>55</v>
      </c>
      <c r="B20" t="s">
        <v>56</v>
      </c>
      <c r="C20" t="s">
        <v>21</v>
      </c>
      <c r="D20">
        <v>9</v>
      </c>
      <c r="E20">
        <v>9</v>
      </c>
      <c r="F20">
        <v>9</v>
      </c>
      <c r="G20" t="s">
        <v>14</v>
      </c>
      <c r="H20" s="1">
        <v>45001</v>
      </c>
      <c r="I20" s="1">
        <v>45187</v>
      </c>
      <c r="J20">
        <v>63</v>
      </c>
      <c r="K20" t="s">
        <v>15</v>
      </c>
    </row>
    <row r="21" spans="1:11" x14ac:dyDescent="0.3">
      <c r="A21" t="s">
        <v>57</v>
      </c>
      <c r="B21" t="s">
        <v>58</v>
      </c>
      <c r="C21" t="s">
        <v>21</v>
      </c>
      <c r="D21">
        <v>7</v>
      </c>
      <c r="E21">
        <v>8</v>
      </c>
      <c r="F21">
        <v>7</v>
      </c>
      <c r="G21" t="s">
        <v>26</v>
      </c>
      <c r="H21" s="1">
        <v>45081</v>
      </c>
      <c r="I21" s="1">
        <v>45267</v>
      </c>
      <c r="J21">
        <v>143</v>
      </c>
      <c r="K21" t="s">
        <v>15</v>
      </c>
    </row>
    <row r="22" spans="1:11" x14ac:dyDescent="0.3">
      <c r="A22" t="s">
        <v>59</v>
      </c>
      <c r="B22" t="s">
        <v>60</v>
      </c>
      <c r="C22" t="s">
        <v>13</v>
      </c>
      <c r="D22">
        <v>7</v>
      </c>
      <c r="E22">
        <v>7</v>
      </c>
      <c r="F22">
        <v>8</v>
      </c>
      <c r="G22" t="s">
        <v>14</v>
      </c>
      <c r="H22" s="1">
        <v>45068</v>
      </c>
      <c r="I22" s="1">
        <v>45254</v>
      </c>
      <c r="J22">
        <v>130</v>
      </c>
      <c r="K22" t="s">
        <v>15</v>
      </c>
    </row>
    <row r="23" spans="1:11" x14ac:dyDescent="0.3">
      <c r="A23" t="s">
        <v>61</v>
      </c>
      <c r="B23" t="s">
        <v>62</v>
      </c>
      <c r="C23" t="s">
        <v>13</v>
      </c>
      <c r="D23">
        <v>7</v>
      </c>
      <c r="E23">
        <v>9</v>
      </c>
      <c r="F23">
        <v>8</v>
      </c>
      <c r="G23" t="s">
        <v>14</v>
      </c>
      <c r="H23" s="1">
        <v>45013</v>
      </c>
      <c r="I23" s="1">
        <v>45199</v>
      </c>
      <c r="J23">
        <v>75</v>
      </c>
      <c r="K23" t="s">
        <v>15</v>
      </c>
    </row>
    <row r="24" spans="1:11" x14ac:dyDescent="0.3">
      <c r="A24" t="s">
        <v>63</v>
      </c>
      <c r="B24" t="s">
        <v>64</v>
      </c>
      <c r="C24" t="s">
        <v>21</v>
      </c>
      <c r="D24">
        <v>7</v>
      </c>
      <c r="E24">
        <v>4</v>
      </c>
      <c r="F24">
        <v>8</v>
      </c>
      <c r="G24" t="s">
        <v>26</v>
      </c>
      <c r="H24" s="1">
        <v>45087</v>
      </c>
      <c r="I24" s="1">
        <v>45273</v>
      </c>
      <c r="J24">
        <v>149</v>
      </c>
      <c r="K24" t="s">
        <v>15</v>
      </c>
    </row>
    <row r="25" spans="1:11" x14ac:dyDescent="0.3">
      <c r="A25" t="s">
        <v>65</v>
      </c>
      <c r="B25" t="s">
        <v>66</v>
      </c>
      <c r="C25" t="s">
        <v>25</v>
      </c>
      <c r="D25">
        <v>8</v>
      </c>
      <c r="E25">
        <v>9</v>
      </c>
      <c r="F25">
        <v>9</v>
      </c>
      <c r="G25" t="s">
        <v>14</v>
      </c>
      <c r="H25" s="1">
        <v>45099</v>
      </c>
      <c r="I25" s="1">
        <v>45285</v>
      </c>
      <c r="J25">
        <v>161</v>
      </c>
      <c r="K25" t="s">
        <v>15</v>
      </c>
    </row>
    <row r="26" spans="1:11" x14ac:dyDescent="0.3">
      <c r="A26" t="s">
        <v>67</v>
      </c>
      <c r="B26" t="s">
        <v>68</v>
      </c>
      <c r="C26" t="s">
        <v>18</v>
      </c>
      <c r="D26">
        <v>9</v>
      </c>
      <c r="E26">
        <v>8</v>
      </c>
      <c r="F26">
        <v>9</v>
      </c>
      <c r="G26" t="s">
        <v>14</v>
      </c>
      <c r="H26" s="1">
        <v>44898</v>
      </c>
      <c r="I26" s="1">
        <v>45084</v>
      </c>
      <c r="J26">
        <v>-40</v>
      </c>
      <c r="K26" t="s">
        <v>22</v>
      </c>
    </row>
    <row r="27" spans="1:11" x14ac:dyDescent="0.3">
      <c r="A27" t="s">
        <v>69</v>
      </c>
      <c r="B27" t="s">
        <v>70</v>
      </c>
      <c r="C27" t="s">
        <v>25</v>
      </c>
      <c r="D27">
        <v>5</v>
      </c>
      <c r="E27">
        <v>8</v>
      </c>
      <c r="F27">
        <v>4</v>
      </c>
      <c r="G27" t="s">
        <v>26</v>
      </c>
      <c r="H27" s="1">
        <v>45003</v>
      </c>
      <c r="I27" s="1">
        <v>45189</v>
      </c>
      <c r="J27">
        <v>65</v>
      </c>
      <c r="K27" t="s">
        <v>15</v>
      </c>
    </row>
    <row r="28" spans="1:11" x14ac:dyDescent="0.3">
      <c r="A28" t="s">
        <v>71</v>
      </c>
      <c r="B28" t="s">
        <v>72</v>
      </c>
      <c r="C28" t="s">
        <v>18</v>
      </c>
      <c r="D28">
        <v>9</v>
      </c>
      <c r="E28">
        <v>8</v>
      </c>
      <c r="F28">
        <v>9</v>
      </c>
      <c r="G28" t="s">
        <v>14</v>
      </c>
      <c r="H28" s="1">
        <v>44987</v>
      </c>
      <c r="I28" s="1">
        <v>45173</v>
      </c>
      <c r="J28">
        <v>49</v>
      </c>
      <c r="K28" t="s">
        <v>15</v>
      </c>
    </row>
    <row r="29" spans="1:11" x14ac:dyDescent="0.3">
      <c r="A29" t="s">
        <v>73</v>
      </c>
      <c r="B29" t="s">
        <v>74</v>
      </c>
      <c r="C29" t="s">
        <v>13</v>
      </c>
      <c r="D29">
        <v>9</v>
      </c>
      <c r="E29">
        <v>9</v>
      </c>
      <c r="F29">
        <v>8</v>
      </c>
      <c r="G29" t="s">
        <v>14</v>
      </c>
      <c r="H29" s="1">
        <v>45049</v>
      </c>
      <c r="I29" s="1">
        <v>45235</v>
      </c>
      <c r="J29">
        <v>111</v>
      </c>
      <c r="K29" t="s">
        <v>15</v>
      </c>
    </row>
    <row r="30" spans="1:11" x14ac:dyDescent="0.3">
      <c r="A30" t="s">
        <v>75</v>
      </c>
      <c r="B30" t="s">
        <v>76</v>
      </c>
      <c r="C30" t="s">
        <v>21</v>
      </c>
      <c r="D30">
        <v>6</v>
      </c>
      <c r="E30">
        <v>8</v>
      </c>
      <c r="F30">
        <v>7</v>
      </c>
      <c r="G30" t="s">
        <v>26</v>
      </c>
      <c r="H30" s="1">
        <v>44965</v>
      </c>
      <c r="I30" s="1">
        <v>45151</v>
      </c>
      <c r="J30">
        <v>27</v>
      </c>
      <c r="K30" t="s">
        <v>15</v>
      </c>
    </row>
    <row r="31" spans="1:11" x14ac:dyDescent="0.3">
      <c r="A31" t="s">
        <v>77</v>
      </c>
      <c r="B31" t="s">
        <v>78</v>
      </c>
      <c r="C31" t="s">
        <v>21</v>
      </c>
      <c r="D31">
        <v>7</v>
      </c>
      <c r="E31">
        <v>8</v>
      </c>
      <c r="F31">
        <v>9</v>
      </c>
      <c r="G31" t="s">
        <v>14</v>
      </c>
      <c r="H31" s="1">
        <v>45119</v>
      </c>
      <c r="I31" s="1">
        <v>45305</v>
      </c>
      <c r="J31">
        <v>181</v>
      </c>
      <c r="K31" t="s">
        <v>15</v>
      </c>
    </row>
    <row r="32" spans="1:11" x14ac:dyDescent="0.3">
      <c r="A32" t="s">
        <v>79</v>
      </c>
      <c r="B32" t="s">
        <v>80</v>
      </c>
      <c r="C32" t="s">
        <v>21</v>
      </c>
      <c r="D32">
        <v>6</v>
      </c>
      <c r="E32">
        <v>6</v>
      </c>
      <c r="F32">
        <v>6</v>
      </c>
      <c r="G32" t="s">
        <v>26</v>
      </c>
      <c r="H32" s="1">
        <v>45056</v>
      </c>
      <c r="I32" s="1">
        <v>45242</v>
      </c>
      <c r="J32">
        <v>118</v>
      </c>
      <c r="K32" t="s">
        <v>15</v>
      </c>
    </row>
    <row r="33" spans="1:11" x14ac:dyDescent="0.3">
      <c r="A33" t="s">
        <v>81</v>
      </c>
      <c r="B33" t="s">
        <v>82</v>
      </c>
      <c r="C33" t="s">
        <v>21</v>
      </c>
      <c r="D33">
        <v>7</v>
      </c>
      <c r="E33">
        <v>8</v>
      </c>
      <c r="F33">
        <v>8</v>
      </c>
      <c r="G33" t="s">
        <v>14</v>
      </c>
      <c r="H33" s="1">
        <v>45029</v>
      </c>
      <c r="I33" s="1">
        <v>45215</v>
      </c>
      <c r="J33">
        <v>91</v>
      </c>
      <c r="K33" t="s">
        <v>15</v>
      </c>
    </row>
    <row r="34" spans="1:11" x14ac:dyDescent="0.3">
      <c r="A34" t="s">
        <v>83</v>
      </c>
      <c r="B34" t="s">
        <v>84</v>
      </c>
      <c r="C34" t="s">
        <v>18</v>
      </c>
      <c r="D34">
        <v>8</v>
      </c>
      <c r="E34">
        <v>6</v>
      </c>
      <c r="F34">
        <v>8</v>
      </c>
      <c r="G34" t="s">
        <v>26</v>
      </c>
      <c r="H34" s="1">
        <v>45061</v>
      </c>
      <c r="I34" s="1">
        <v>45247</v>
      </c>
      <c r="J34">
        <v>123</v>
      </c>
      <c r="K34" t="s">
        <v>15</v>
      </c>
    </row>
    <row r="35" spans="1:11" x14ac:dyDescent="0.3">
      <c r="A35" t="s">
        <v>85</v>
      </c>
      <c r="B35" t="s">
        <v>86</v>
      </c>
      <c r="C35" t="s">
        <v>25</v>
      </c>
      <c r="D35">
        <v>5</v>
      </c>
      <c r="E35">
        <v>7</v>
      </c>
      <c r="F35">
        <v>7</v>
      </c>
      <c r="G35" t="s">
        <v>26</v>
      </c>
      <c r="H35" s="1">
        <v>44942</v>
      </c>
      <c r="I35" s="1">
        <v>45128</v>
      </c>
      <c r="J35">
        <v>4</v>
      </c>
      <c r="K35" t="s">
        <v>15</v>
      </c>
    </row>
    <row r="36" spans="1:11" x14ac:dyDescent="0.3">
      <c r="A36" t="s">
        <v>87</v>
      </c>
      <c r="B36" t="s">
        <v>88</v>
      </c>
      <c r="C36" t="s">
        <v>21</v>
      </c>
      <c r="D36">
        <v>8</v>
      </c>
      <c r="E36">
        <v>8</v>
      </c>
      <c r="F36">
        <v>8</v>
      </c>
      <c r="G36" t="s">
        <v>14</v>
      </c>
      <c r="H36" s="1">
        <v>44958</v>
      </c>
      <c r="I36" s="1">
        <v>45144</v>
      </c>
      <c r="J36">
        <v>20</v>
      </c>
      <c r="K36" t="s">
        <v>15</v>
      </c>
    </row>
    <row r="37" spans="1:11" x14ac:dyDescent="0.3">
      <c r="A37" t="s">
        <v>89</v>
      </c>
      <c r="B37" t="s">
        <v>90</v>
      </c>
      <c r="C37" t="s">
        <v>13</v>
      </c>
      <c r="D37">
        <v>8</v>
      </c>
      <c r="E37">
        <v>8</v>
      </c>
      <c r="F37">
        <v>6</v>
      </c>
      <c r="G37" t="s">
        <v>26</v>
      </c>
      <c r="H37" s="1">
        <v>44929</v>
      </c>
      <c r="I37" s="1">
        <v>45115</v>
      </c>
      <c r="J37">
        <v>-9</v>
      </c>
      <c r="K37" t="s">
        <v>22</v>
      </c>
    </row>
    <row r="38" spans="1:11" x14ac:dyDescent="0.3">
      <c r="A38" t="s">
        <v>91</v>
      </c>
      <c r="B38" t="s">
        <v>92</v>
      </c>
      <c r="C38" t="s">
        <v>13</v>
      </c>
      <c r="D38">
        <v>9</v>
      </c>
      <c r="E38">
        <v>8</v>
      </c>
      <c r="F38">
        <v>8</v>
      </c>
      <c r="G38" t="s">
        <v>14</v>
      </c>
      <c r="H38" s="1">
        <v>45047</v>
      </c>
      <c r="I38" s="1">
        <v>45233</v>
      </c>
      <c r="J38">
        <v>109</v>
      </c>
      <c r="K38" t="s">
        <v>15</v>
      </c>
    </row>
    <row r="39" spans="1:11" x14ac:dyDescent="0.3">
      <c r="A39" t="s">
        <v>93</v>
      </c>
      <c r="B39" t="s">
        <v>94</v>
      </c>
      <c r="C39" t="s">
        <v>13</v>
      </c>
      <c r="D39">
        <v>8</v>
      </c>
      <c r="E39">
        <v>9</v>
      </c>
      <c r="F39">
        <v>7</v>
      </c>
      <c r="G39" t="s">
        <v>26</v>
      </c>
      <c r="H39" s="1">
        <v>45093</v>
      </c>
      <c r="I39" s="1">
        <v>45279</v>
      </c>
      <c r="J39">
        <v>155</v>
      </c>
      <c r="K39" t="s">
        <v>15</v>
      </c>
    </row>
    <row r="40" spans="1:11" x14ac:dyDescent="0.3">
      <c r="A40" t="s">
        <v>95</v>
      </c>
      <c r="B40" t="s">
        <v>96</v>
      </c>
      <c r="C40" t="s">
        <v>18</v>
      </c>
      <c r="D40">
        <v>8</v>
      </c>
      <c r="E40">
        <v>9</v>
      </c>
      <c r="F40">
        <v>8</v>
      </c>
      <c r="G40" t="s">
        <v>14</v>
      </c>
      <c r="H40" s="1">
        <v>45014</v>
      </c>
      <c r="I40" s="1">
        <v>45200</v>
      </c>
      <c r="J40">
        <v>76</v>
      </c>
      <c r="K40" t="s">
        <v>15</v>
      </c>
    </row>
    <row r="41" spans="1:11" x14ac:dyDescent="0.3">
      <c r="A41" t="s">
        <v>97</v>
      </c>
      <c r="B41" t="s">
        <v>98</v>
      </c>
      <c r="C41" t="s">
        <v>18</v>
      </c>
      <c r="D41">
        <v>7</v>
      </c>
      <c r="E41">
        <v>8</v>
      </c>
      <c r="F41">
        <v>9</v>
      </c>
      <c r="G41" t="s">
        <v>14</v>
      </c>
      <c r="H41" s="1">
        <v>45029</v>
      </c>
      <c r="I41" s="1">
        <v>45215</v>
      </c>
      <c r="J41">
        <v>91</v>
      </c>
      <c r="K41" t="s">
        <v>15</v>
      </c>
    </row>
    <row r="42" spans="1:11" x14ac:dyDescent="0.3">
      <c r="A42" t="s">
        <v>99</v>
      </c>
      <c r="B42" t="s">
        <v>100</v>
      </c>
      <c r="C42" t="s">
        <v>25</v>
      </c>
      <c r="D42">
        <v>6</v>
      </c>
      <c r="E42">
        <v>4</v>
      </c>
      <c r="F42">
        <v>7</v>
      </c>
      <c r="G42" t="s">
        <v>26</v>
      </c>
      <c r="H42" s="1">
        <v>45116</v>
      </c>
      <c r="I42" s="1">
        <v>45302</v>
      </c>
      <c r="J42">
        <v>178</v>
      </c>
      <c r="K4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Sheet4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2026-05-16T09:20:31Z</dcterms:created>
  <dcterms:modified xsi:type="dcterms:W3CDTF">2026-05-20T04:42:26Z</dcterms:modified>
</cp:coreProperties>
</file>