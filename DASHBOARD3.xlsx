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 activeTab="2"/>
  </bookViews>
  <sheets>
    <sheet name="Sheet6" sheetId="6" r:id="rId1"/>
    <sheet name="DATA" sheetId="1" r:id="rId2"/>
    <sheet name="DASHBOARD" sheetId="2" r:id="rId3"/>
  </sheets>
  <calcPr calcId="162913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2" l="1"/>
  <c r="K36" i="2"/>
  <c r="F37" i="2"/>
  <c r="B36" i="2"/>
  <c r="L24" i="2"/>
  <c r="L21" i="2"/>
  <c r="A27" i="2"/>
  <c r="A24" i="2"/>
  <c r="A21" i="2"/>
  <c r="K10" i="2"/>
  <c r="L4" i="2"/>
  <c r="L7" i="2"/>
  <c r="A6" i="2"/>
  <c r="A4" i="2"/>
  <c r="L27" i="2" l="1"/>
  <c r="B9" i="2"/>
</calcChain>
</file>

<file path=xl/sharedStrings.xml><?xml version="1.0" encoding="utf-8"?>
<sst xmlns="http://schemas.openxmlformats.org/spreadsheetml/2006/main" count="501" uniqueCount="63">
  <si>
    <t xml:space="preserve">ACTIVE TABLE FOR SELECTED </t>
  </si>
  <si>
    <t>Q4 2023</t>
  </si>
  <si>
    <t>Q1</t>
  </si>
  <si>
    <t xml:space="preserve">October </t>
  </si>
  <si>
    <t>November</t>
  </si>
  <si>
    <t>December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</si>
  <si>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</si>
  <si>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</si>
  <si>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</si>
  <si>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</si>
  <si>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</si>
  <si>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</si>
  <si>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</si>
  <si>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</si>
  <si>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</si>
  <si>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</si>
  <si>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</si>
  <si>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</si>
  <si>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</si>
  <si>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</si>
  <si>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</si>
  <si>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</si>
  <si>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</si>
  <si>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</si>
  <si>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</si>
  <si>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</si>
  <si>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</si>
  <si>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</si>
  <si>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</si>
  <si>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</si>
  <si>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</si>
  <si>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</si>
  <si>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</si>
  <si>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</si>
  <si>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</si>
  <si>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</si>
  <si>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 xml:space="preserve">May </t>
  </si>
  <si>
    <t>June</t>
  </si>
  <si>
    <t>Q3 2023</t>
  </si>
  <si>
    <t>July</t>
  </si>
  <si>
    <t>August</t>
  </si>
  <si>
    <t>September</t>
  </si>
  <si>
    <t>Options:</t>
  </si>
  <si>
    <t>Revenue Actual vs Target</t>
  </si>
  <si>
    <t>Actual Revenue</t>
  </si>
  <si>
    <t>Target Achievement</t>
  </si>
  <si>
    <t xml:space="preserve">Q4 Revenue compared to previous year </t>
  </si>
  <si>
    <t>Grand Total</t>
  </si>
  <si>
    <t>Row Labels</t>
  </si>
  <si>
    <t>(All)</t>
  </si>
  <si>
    <t>New customers Actual VS Target</t>
  </si>
  <si>
    <t>Actual new Customers</t>
  </si>
  <si>
    <t>Target new Customers</t>
  </si>
  <si>
    <t>Q4 2023 New customers VS previous customers</t>
  </si>
  <si>
    <t>Average revenue per customer</t>
  </si>
  <si>
    <t>Target Rev. per customer</t>
  </si>
  <si>
    <t>Actual rev. Per customer</t>
  </si>
  <si>
    <t>Customer Acquaintance Cost</t>
  </si>
  <si>
    <t>Actual CAC</t>
  </si>
  <si>
    <t>Target CAC</t>
  </si>
  <si>
    <t>Q4 2023 Avg. rev per cust. VS prev year</t>
  </si>
  <si>
    <t>Q4 2023 Cust acq. Cost compared to prev year</t>
  </si>
  <si>
    <t>NEW  CUSTOMERS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</si>
</sst>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[$$-C09]#,##0.00"/>
    <numFmt numFmtId="169" formatCode="[$$-C09]#,##0"/>
    <numFmt numFmtId="171" formatCode="[$£-809]#,##0.00"/>
    <numFmt numFmtId="172" formatCode="[$£-809]#,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18"/>
      <name val="Bahnschrift"/>
      <family val="2"/>
    </font>
    <font>
      <b/>
      <sz val="11"/>
      <name val="Bahnschrift"/>
      <family val="2"/>
    </font>
    <font>
      <sz val="14"/>
      <color theme="1"/>
      <name val="Bahnschrift"/>
      <family val="2"/>
    </font>
    <font>
      <sz val="18"/>
      <color theme="1"/>
      <name val="Bahnschrift"/>
      <family val="2"/>
    </font>
    <font>
      <sz val="18"/>
      <color rgb="FF7ED2DB"/>
      <name val="Bahnschrift"/>
      <family val="2"/>
    </font>
    <font>
      <sz val="16"/>
      <color theme="1" tint="0.34998626667073579"/>
      <name val="Bahnschrift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fornian FB"/>
      <family val="1"/>
    </font>
    <font>
      <sz val="11"/>
      <color theme="1"/>
      <name val="Baskerville Old Face"/>
      <family val="1"/>
    </font>
    <font>
      <b/>
      <sz val="14"/>
      <color theme="1"/>
      <name val="Californian FB"/>
      <family val="1"/>
    </font>
    <font>
      <sz val="14"/>
      <color theme="1"/>
      <name val="Californian FB"/>
      <family val="1"/>
    </font>
    <font>
      <sz val="9"/>
      <color theme="1"/>
      <name val="Calibri"/>
      <family val="2"/>
      <scheme val="minor"/>
    </font>
    <font>
      <b/>
      <sz val="28"/>
      <color theme="1"/>
      <name val="Californian FB"/>
      <family val="1"/>
    </font>
    <font>
      <b/>
      <sz val="12"/>
      <color theme="0"/>
      <name val="Californian FB"/>
      <family val="1"/>
    </font>
  </fonts>
  <fills count="10">
    <fill>
      <patternFill patternType="none"/>
    </fill>
    <fill>
      <patternFill patternType="gray125"/>
    </fill>
    <fill>
      <patternFill patternType="solid">
        <fgColor rgb="FFDF72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ED2D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291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5" fillId="4" borderId="1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8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8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8" fontId="2" fillId="3" borderId="3" xfId="0" applyNumberFormat="1" applyFont="1" applyFill="1" applyBorder="1" applyAlignment="1">
      <alignment horizontal="center" vertical="center"/>
    </xf>
    <xf numFmtId="168" fontId="3" fillId="2" borderId="4" xfId="0" applyNumberFormat="1" applyFont="1" applyFill="1" applyBorder="1" applyAlignment="1">
      <alignment horizontal="center" vertical="center"/>
    </xf>
    <xf numFmtId="168" fontId="3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168" fontId="2" fillId="3" borderId="10" xfId="0" applyNumberFormat="1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68" fontId="3" fillId="2" borderId="18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3" borderId="0" xfId="0" applyFill="1" applyAlignment="1">
      <alignment horizontal="center"/>
    </xf>
    <xf numFmtId="0" fontId="0" fillId="3" borderId="0" xfId="0" applyFill="1" applyAlignment="1"/>
    <xf numFmtId="0" fontId="11" fillId="3" borderId="0" xfId="0" applyFont="1" applyFill="1" applyAlignment="1"/>
    <xf numFmtId="0" fontId="12" fillId="3" borderId="0" xfId="0" applyFont="1" applyFill="1" applyAlignment="1">
      <alignment horizontal="center"/>
    </xf>
    <xf numFmtId="169" fontId="13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center" vertical="top"/>
    </xf>
    <xf numFmtId="0" fontId="0" fillId="3" borderId="0" xfId="0" applyFill="1" applyAlignment="1">
      <alignment vertical="top"/>
    </xf>
    <xf numFmtId="9" fontId="16" fillId="3" borderId="0" xfId="0" applyNumberFormat="1" applyFont="1" applyFill="1" applyAlignment="1">
      <alignment horizontal="left" vertical="top"/>
    </xf>
    <xf numFmtId="9" fontId="10" fillId="5" borderId="0" xfId="0" applyNumberFormat="1" applyFont="1" applyFill="1" applyAlignment="1">
      <alignment horizontal="right" vertical="center"/>
    </xf>
    <xf numFmtId="9" fontId="15" fillId="3" borderId="0" xfId="0" applyNumberFormat="1" applyFont="1" applyFill="1" applyAlignment="1"/>
    <xf numFmtId="9" fontId="15" fillId="3" borderId="0" xfId="0" applyNumberFormat="1" applyFont="1" applyFill="1" applyAlignment="1">
      <alignment horizontal="left" vertical="top"/>
    </xf>
    <xf numFmtId="0" fontId="11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/>
    <xf numFmtId="168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8" fontId="2" fillId="3" borderId="3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168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168" fontId="3" fillId="4" borderId="4" xfId="0" applyNumberFormat="1" applyFont="1" applyFill="1" applyBorder="1" applyAlignment="1">
      <alignment horizontal="center" vertical="center"/>
    </xf>
    <xf numFmtId="168" fontId="3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68" fontId="3" fillId="4" borderId="5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168" fontId="3" fillId="4" borderId="18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13" fillId="3" borderId="0" xfId="0" applyNumberFormat="1" applyFont="1" applyFill="1" applyAlignment="1"/>
    <xf numFmtId="9" fontId="15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center"/>
    </xf>
    <xf numFmtId="9" fontId="13" fillId="3" borderId="0" xfId="0" applyNumberFormat="1" applyFont="1" applyFill="1" applyAlignment="1">
      <alignment horizontal="center" vertical="top"/>
    </xf>
    <xf numFmtId="0" fontId="11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1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171" fontId="18" fillId="3" borderId="0" xfId="0" applyNumberFormat="1" applyFont="1" applyFill="1" applyAlignment="1">
      <alignment vertical="center"/>
    </xf>
    <xf numFmtId="3" fontId="18" fillId="3" borderId="0" xfId="0" applyNumberFormat="1" applyFont="1" applyFill="1" applyAlignment="1">
      <alignment horizontal="center" vertical="center"/>
    </xf>
    <xf numFmtId="172" fontId="18" fillId="3" borderId="0" xfId="0" applyNumberFormat="1" applyFont="1" applyFill="1" applyAlignment="1">
      <alignment horizontal="center" vertical="center"/>
    </xf>
    <xf numFmtId="172" fontId="18" fillId="3" borderId="0" xfId="0" applyNumberFormat="1" applyFont="1" applyFill="1" applyAlignment="1">
      <alignment vertical="center"/>
    </xf>
    <xf numFmtId="0" fontId="19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9" fillId="7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3" fontId="18" fillId="3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2915"/>
      <color rgb="FF33CCCC"/>
      <color rgb="FF9900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971373650907743"/>
          <c:y val="7.7868609447074924E-2"/>
          <c:w val="0.78742817620770378"/>
          <c:h val="0.48170795511026238"/>
        </c:manualLayout>
      </c:layout>
      <c:barChart>
        <c:barDir val="col"/>
        <c:grouping val="clustered"/>
        <c:varyColors val="0"/>
        <c:ser>
          <c:idx val="2"/>
          <c:order val="0"/>
          <c:tx>
            <c:v>Current Year</c:v>
          </c:tx>
          <c:spPr>
            <a:gradFill rotWithShape="1">
              <a:gsLst>
                <a:gs pos="0">
                  <a:schemeClr val="accent2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DATA!$B$10:$J$11</c:f>
              <c:multiLvlStrCache>
                <c:ptCount val="9"/>
                <c:lvl>
                  <c:pt idx="0">
                    <c:v>Revenue</c:v>
                  </c:pt>
                  <c:pt idx="1">
                    <c:v>Revenue</c:v>
                  </c:pt>
                  <c:pt idx="2">
                    <c:v>Revenue</c:v>
                  </c:pt>
                  <c:pt idx="3">
                    <c:v>Target Revenue</c:v>
                  </c:pt>
                  <c:pt idx="4">
                    <c:v>Target Revenue</c:v>
                  </c:pt>
                  <c:pt idx="5">
                    <c:v>Target Revenue</c:v>
                  </c:pt>
                  <c:pt idx="6">
                    <c:v>Previous Year
Revenue</c:v>
                  </c:pt>
                  <c:pt idx="7">
                    <c:v>Previous Year
Revenue</c:v>
                  </c:pt>
                  <c:pt idx="8">
                    <c:v>Previous Year
Revenue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  <c:pt idx="6">
                    <c:v>October </c:v>
                  </c:pt>
                  <c:pt idx="7">
                    <c:v>November</c:v>
                  </c:pt>
                  <c:pt idx="8">
                    <c:v>December</c:v>
                  </c:pt>
                </c:lvl>
              </c:multiLvlStrCache>
            </c:multiLvlStrRef>
          </c:cat>
          <c:val>
            <c:numRef>
              <c:f>DATA!$B$17:$D$17</c:f>
              <c:numCache>
                <c:formatCode>[$$-C09]#,##0.00</c:formatCode>
                <c:ptCount val="3"/>
                <c:pt idx="0">
                  <c:v>695000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7-4A28-B1FF-9F3C5DB204B9}"/>
            </c:ext>
          </c:extLst>
        </c:ser>
        <c:ser>
          <c:idx val="0"/>
          <c:order val="1"/>
          <c:tx>
            <c:v>Previous YEar</c:v>
          </c:tx>
          <c:spPr>
            <a:gradFill rotWithShape="1">
              <a:gsLst>
                <a:gs pos="0">
                  <a:schemeClr val="accent2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DATA!$H$17:$J$17</c:f>
              <c:numCache>
                <c:formatCode>[$$-C09]#,##0.00</c:formatCode>
                <c:ptCount val="3"/>
                <c:pt idx="0">
                  <c:v>780000</c:v>
                </c:pt>
                <c:pt idx="1">
                  <c:v>700000</c:v>
                </c:pt>
                <c:pt idx="2">
                  <c:v>685000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7-4A28-B1FF-9F3C5DB20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9171392"/>
        <c:axId val="1629156832"/>
        <c:extLst>
          <c:ext xmlns:c15="http://schemas.microsoft.com/office/drawing/2012/chart" uri="{02D57815-91ED-43cb-92C2-25804820EDAC}">
            <c15:filteredBarSeries>
              <c15:ser>
                <c:idx val="1"/>
                <c:order val="2"/>
                <c:tx>
                  <c:v>Revenuenext</c:v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DATA!$E$17:$G$17</c15:sqref>
                        </c15:formulaRef>
                      </c:ext>
                    </c:extLst>
                    <c:numCache>
                      <c:formatCode>[$$-C09]#,##0.00</c:formatCode>
                      <c:ptCount val="3"/>
                      <c:pt idx="0">
                        <c:v>825000</c:v>
                      </c:pt>
                      <c:pt idx="1">
                        <c:v>775000</c:v>
                      </c:pt>
                      <c:pt idx="2">
                        <c:v>725000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687-4A28-B1FF-9F3C5DB204B9}"/>
                  </c:ext>
                </c:extLst>
              </c15:ser>
            </c15:filteredBarSeries>
          </c:ext>
        </c:extLst>
      </c:barChart>
      <c:catAx>
        <c:axId val="16291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56832"/>
        <c:crosses val="autoZero"/>
        <c:auto val="1"/>
        <c:lblAlgn val="ctr"/>
        <c:lblOffset val="100"/>
        <c:noMultiLvlLbl val="0"/>
      </c:catAx>
      <c:valAx>
        <c:axId val="16291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96490737992555E-2"/>
          <c:y val="7.0420771678902455E-2"/>
          <c:w val="0.8967873230092358"/>
          <c:h val="0.72601278101106925"/>
        </c:manualLayout>
      </c:layout>
      <c:barChart>
        <c:barDir val="col"/>
        <c:grouping val="clustered"/>
        <c:varyColors val="0"/>
        <c:ser>
          <c:idx val="0"/>
          <c:order val="0"/>
          <c:tx>
            <c:v>New Customer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DATA!$Q$10:$S$11</c15:sqref>
                  </c15:fullRef>
                  <c15:levelRef>
                    <c15:sqref>DATA!$Q$10:$S$10</c15:sqref>
                  </c15:levelRef>
                </c:ext>
              </c:extLst>
              <c:f>DATA!$Q$10:$S$10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DATA!$Q$17:$S$17</c:f>
              <c:numCache>
                <c:formatCode>#,##0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C-4997-85A8-C4AE720D72FF}"/>
            </c:ext>
          </c:extLst>
        </c:ser>
        <c:ser>
          <c:idx val="1"/>
          <c:order val="1"/>
          <c:tx>
            <c:v>Previous Customer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DATA!$Q$10:$S$11</c15:sqref>
                  </c15:fullRef>
                  <c15:levelRef>
                    <c15:sqref>DATA!$Q$10:$S$10</c15:sqref>
                  </c15:levelRef>
                </c:ext>
              </c:extLst>
              <c:f>DATA!$Q$10:$S$10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DATA!$T$17:$V$17</c:f>
              <c:numCache>
                <c:formatCode>#,##0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C-4997-85A8-C4AE720D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129040"/>
        <c:axId val="1436139440"/>
      </c:barChart>
      <c:catAx>
        <c:axId val="143612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39440"/>
        <c:crosses val="autoZero"/>
        <c:auto val="1"/>
        <c:lblAlgn val="ctr"/>
        <c:lblOffset val="100"/>
        <c:noMultiLvlLbl val="0"/>
      </c:catAx>
      <c:valAx>
        <c:axId val="14361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2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per customer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DATA!$AL$10:$AQ$11</c:f>
              <c:multiLvlStrCache>
                <c:ptCount val="6"/>
                <c:lvl>
                  <c:pt idx="0">
                    <c:v>Revenue per
Customer PY</c:v>
                  </c:pt>
                  <c:pt idx="1">
                    <c:v>Revenue per
Customer PY</c:v>
                  </c:pt>
                  <c:pt idx="2">
                    <c:v>Revenue per
Customer PY</c:v>
                  </c:pt>
                  <c:pt idx="3">
                    <c:v>Target Revenue
per Customer</c:v>
                  </c:pt>
                  <c:pt idx="4">
                    <c:v>Target Revenue
per Customer</c:v>
                  </c:pt>
                  <c:pt idx="5">
                    <c:v>Target Revenue
per Customer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DATA!$AL$17:$AN$17</c:f>
              <c:numCache>
                <c:formatCode>[$$-C09]#,##0.00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0-4C16-A82B-FD000A21FC8A}"/>
            </c:ext>
          </c:extLst>
        </c:ser>
        <c:ser>
          <c:idx val="1"/>
          <c:order val="1"/>
          <c:tx>
            <c:v>target rev. per customer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DATA!$AL$10:$AQ$11</c:f>
              <c:multiLvlStrCache>
                <c:ptCount val="6"/>
                <c:lvl>
                  <c:pt idx="0">
                    <c:v>Revenue per
Customer PY</c:v>
                  </c:pt>
                  <c:pt idx="1">
                    <c:v>Revenue per
Customer PY</c:v>
                  </c:pt>
                  <c:pt idx="2">
                    <c:v>Revenue per
Customer PY</c:v>
                  </c:pt>
                  <c:pt idx="3">
                    <c:v>Target Revenue
per Customer</c:v>
                  </c:pt>
                  <c:pt idx="4">
                    <c:v>Target Revenue
per Customer</c:v>
                  </c:pt>
                  <c:pt idx="5">
                    <c:v>Target Revenue
per Customer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DATA!$AO$17:$AQ$17</c:f>
              <c:numCache>
                <c:formatCode>[$$-C09]#,##0.00</c:formatCode>
                <c:ptCount val="3"/>
                <c:pt idx="0">
                  <c:v>2450</c:v>
                </c:pt>
                <c:pt idx="1">
                  <c:v>2700</c:v>
                </c:pt>
                <c:pt idx="2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0-4C16-A82B-FD000A21F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363904"/>
        <c:axId val="1431364736"/>
      </c:barChart>
      <c:catAx>
        <c:axId val="14313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64736"/>
        <c:crosses val="autoZero"/>
        <c:auto val="1"/>
        <c:lblAlgn val="ctr"/>
        <c:lblOffset val="100"/>
        <c:noMultiLvlLbl val="0"/>
      </c:catAx>
      <c:valAx>
        <c:axId val="14313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53552816074057"/>
          <c:y val="7.3656603924027869E-2"/>
          <c:w val="0.82579726026914568"/>
          <c:h val="0.60958219444396089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 per customer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DATA!$AL$10:$AQ$11</c:f>
              <c:multiLvlStrCache>
                <c:ptCount val="6"/>
                <c:lvl>
                  <c:pt idx="0">
                    <c:v>Revenue per
Customer PY</c:v>
                  </c:pt>
                  <c:pt idx="1">
                    <c:v>Revenue per
Customer PY</c:v>
                  </c:pt>
                  <c:pt idx="2">
                    <c:v>Revenue per
Customer PY</c:v>
                  </c:pt>
                  <c:pt idx="3">
                    <c:v>Target Revenue
per Customer</c:v>
                  </c:pt>
                  <c:pt idx="4">
                    <c:v>Target Revenue
per Customer</c:v>
                  </c:pt>
                  <c:pt idx="5">
                    <c:v>Target Revenue
per Customer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DATA!$AL$17:$AN$17</c:f>
              <c:numCache>
                <c:formatCode>[$$-C09]#,##0.00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0-4EFA-9C30-0297BC9FE552}"/>
            </c:ext>
          </c:extLst>
        </c:ser>
        <c:ser>
          <c:idx val="1"/>
          <c:order val="1"/>
          <c:tx>
            <c:v>target rev. per customer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DATA!$AL$10:$AQ$11</c:f>
              <c:multiLvlStrCache>
                <c:ptCount val="6"/>
                <c:lvl>
                  <c:pt idx="0">
                    <c:v>Revenue per
Customer PY</c:v>
                  </c:pt>
                  <c:pt idx="1">
                    <c:v>Revenue per
Customer PY</c:v>
                  </c:pt>
                  <c:pt idx="2">
                    <c:v>Revenue per
Customer PY</c:v>
                  </c:pt>
                  <c:pt idx="3">
                    <c:v>Target Revenue
per Customer</c:v>
                  </c:pt>
                  <c:pt idx="4">
                    <c:v>Target Revenue
per Customer</c:v>
                  </c:pt>
                  <c:pt idx="5">
                    <c:v>Target Revenue
per Customer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DATA!$AO$17:$AQ$17</c:f>
              <c:numCache>
                <c:formatCode>[$$-C09]#,##0.00</c:formatCode>
                <c:ptCount val="3"/>
                <c:pt idx="0">
                  <c:v>2450</c:v>
                </c:pt>
                <c:pt idx="1">
                  <c:v>2700</c:v>
                </c:pt>
                <c:pt idx="2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0-4EFA-9C30-0297BC9F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363904"/>
        <c:axId val="1431364736"/>
      </c:barChart>
      <c:catAx>
        <c:axId val="14313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64736"/>
        <c:crosses val="autoZero"/>
        <c:auto val="1"/>
        <c:lblAlgn val="ctr"/>
        <c:lblOffset val="100"/>
        <c:noMultiLvlLbl val="0"/>
      </c:catAx>
      <c:valAx>
        <c:axId val="14313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9759405074366"/>
          <c:y val="6.4814814814814811E-2"/>
          <c:w val="0.84589129483814518"/>
          <c:h val="0.60760790317876934"/>
        </c:manualLayout>
      </c:layout>
      <c:barChart>
        <c:barDir val="col"/>
        <c:grouping val="clustered"/>
        <c:varyColors val="0"/>
        <c:ser>
          <c:idx val="0"/>
          <c:order val="0"/>
          <c:tx>
            <c:v>Acq. Per customer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DATA!$Z$10:$AE$11</c:f>
              <c:multiLvlStrCache>
                <c:ptCount val="6"/>
                <c:lvl>
                  <c:pt idx="0">
                    <c:v>Customer AC (per customer)</c:v>
                  </c:pt>
                  <c:pt idx="1">
                    <c:v>Customer AC (per customer)</c:v>
                  </c:pt>
                  <c:pt idx="2">
                    <c:v>Customer AC (per customer)</c:v>
                  </c:pt>
                  <c:pt idx="3">
                    <c:v>Customer AC (per customer) Target</c:v>
                  </c:pt>
                  <c:pt idx="4">
                    <c:v>Customer AC (per customer) Target</c:v>
                  </c:pt>
                  <c:pt idx="5">
                    <c:v>Customer AC (per customer) Target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DATA!$Z$17:$AB$17</c:f>
              <c:numCache>
                <c:formatCode>[$$-C09]#,##0.00</c:formatCode>
                <c:ptCount val="3"/>
                <c:pt idx="0">
                  <c:v>316.57017543859649</c:v>
                </c:pt>
                <c:pt idx="1">
                  <c:v>446.64289958407608</c:v>
                </c:pt>
                <c:pt idx="2">
                  <c:v>353.11904761904759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F-437A-8274-12E6FB1476D4}"/>
            </c:ext>
          </c:extLst>
        </c:ser>
        <c:ser>
          <c:idx val="1"/>
          <c:order val="1"/>
          <c:tx>
            <c:v>Target acq. Per customer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DATA!$Z$10:$AE$11</c:f>
              <c:multiLvlStrCache>
                <c:ptCount val="6"/>
                <c:lvl>
                  <c:pt idx="0">
                    <c:v>Customer AC (per customer)</c:v>
                  </c:pt>
                  <c:pt idx="1">
                    <c:v>Customer AC (per customer)</c:v>
                  </c:pt>
                  <c:pt idx="2">
                    <c:v>Customer AC (per customer)</c:v>
                  </c:pt>
                  <c:pt idx="3">
                    <c:v>Customer AC (per customer) Target</c:v>
                  </c:pt>
                  <c:pt idx="4">
                    <c:v>Customer AC (per customer) Target</c:v>
                  </c:pt>
                  <c:pt idx="5">
                    <c:v>Customer AC (per customer) Target</c:v>
                  </c:pt>
                </c:lvl>
                <c:lvl>
                  <c:pt idx="0">
                    <c:v>October 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October </c:v>
                  </c:pt>
                  <c:pt idx="4">
                    <c:v>November</c:v>
                  </c:pt>
                  <c:pt idx="5">
                    <c:v>December</c:v>
                  </c:pt>
                </c:lvl>
              </c:multiLvlStrCache>
            </c:multiLvlStrRef>
          </c:cat>
          <c:val>
            <c:numRef>
              <c:f>DATA!$AC$17:$AE$17</c:f>
              <c:numCache>
                <c:formatCode>[$$-C09]#,##0.00</c:formatCode>
                <c:ptCount val="3"/>
                <c:pt idx="0">
                  <c:v>350</c:v>
                </c:pt>
                <c:pt idx="1">
                  <c:v>350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F-437A-8274-12E6FB14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728016"/>
        <c:axId val="1619995168"/>
      </c:barChart>
      <c:catAx>
        <c:axId val="125872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95168"/>
        <c:crosses val="autoZero"/>
        <c:auto val="1"/>
        <c:lblAlgn val="ctr"/>
        <c:lblOffset val="100"/>
        <c:noMultiLvlLbl val="0"/>
      </c:catAx>
      <c:valAx>
        <c:axId val="16199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2</xdr:row>
      <xdr:rowOff>137160</xdr:rowOff>
    </xdr:from>
    <xdr:to>
      <xdr:col>8</xdr:col>
      <xdr:colOff>563880</xdr:colOff>
      <xdr:row>13</xdr:row>
      <xdr:rowOff>160020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541020</xdr:colOff>
      <xdr:row>2</xdr:row>
      <xdr:rowOff>15240</xdr:rowOff>
    </xdr:from>
    <xdr:to>
      <xdr:col>18</xdr:col>
      <xdr:colOff>548640</xdr:colOff>
      <xdr:row>14</xdr:row>
      <xdr:rowOff>99060</xdr:rowOff>
    </xdr:to>
    <xdr:graphicFrame macro="">
      <xdr:nvGraphicFramePr>
        <xdr:cNvPr id="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320040</xdr:colOff>
      <xdr:row>2</xdr:row>
      <xdr:rowOff>66040</xdr:rowOff>
    </xdr:from>
    <xdr:to>
      <xdr:col>74</xdr:col>
      <xdr:colOff>15240</xdr:colOff>
      <xdr:row>15</xdr:row>
      <xdr:rowOff>58420</xdr:rowOff>
    </xdr:to>
    <xdr:graphicFrame macro="">
      <xdr:nvGraphicFramePr>
        <xdr:cNvPr id="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849922</xdr:colOff>
      <xdr:row>18</xdr:row>
      <xdr:rowOff>107462</xdr:rowOff>
    </xdr:from>
    <xdr:to>
      <xdr:col>8</xdr:col>
      <xdr:colOff>517768</xdr:colOff>
      <xdr:row>32</xdr:row>
      <xdr:rowOff>58616</xdr:rowOff>
    </xdr:to>
    <xdr:graphicFrame macro="">
      <xdr:nvGraphicFramePr>
        <xdr:cNvPr id="6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507999</xdr:colOff>
      <xdr:row>18</xdr:row>
      <xdr:rowOff>87923</xdr:rowOff>
    </xdr:from>
    <xdr:to>
      <xdr:col>19</xdr:col>
      <xdr:colOff>586154</xdr:colOff>
      <xdr:row>32</xdr:row>
      <xdr:rowOff>39077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64.461580092589" createdVersion="6" refreshedVersion="6" minRefreshableVersion="3" recordCount="7">
  <cacheSource type="worksheet">
    <worksheetSource ref="B10:J17" sheet="DATA"/>
  </cacheSource>
  <cacheFields count="9">
    <cacheField name="October " numFmtId="0">
      <sharedItems containsMixedTypes="1" containsNumber="1" containsInteger="1" minValue="115000" maxValue="695000" count="7">
        <s v="Revenue"/>
        <n v="140000"/>
        <n v="115000"/>
        <n v="165000"/>
        <n v="125000"/>
        <n v="150000"/>
        <n v="695000"/>
      </sharedItems>
    </cacheField>
    <cacheField name="November" numFmtId="0">
      <sharedItems containsMixedTypes="1" containsNumber="1" containsInteger="1" minValue="130000" maxValue="715000" count="6">
        <s v="Revenue"/>
        <n v="150000"/>
        <n v="140000"/>
        <n v="155000"/>
        <n v="130000"/>
        <n v="715000"/>
      </sharedItems>
    </cacheField>
    <cacheField name="December" numFmtId="0">
      <sharedItems containsMixedTypes="1" containsNumber="1" containsInteger="1" minValue="145000" maxValue="770000" count="6">
        <s v="Revenue"/>
        <n v="150000"/>
        <n v="170000"/>
        <n v="145000"/>
        <n v="155000"/>
        <n v="770000"/>
      </sharedItems>
    </cacheField>
    <cacheField name="October 2" numFmtId="0">
      <sharedItems containsMixedTypes="1" containsNumber="1" containsInteger="1" minValue="165000" maxValue="825000"/>
    </cacheField>
    <cacheField name="November2" numFmtId="0">
      <sharedItems containsMixedTypes="1" containsNumber="1" containsInteger="1" minValue="155000" maxValue="775000"/>
    </cacheField>
    <cacheField name="December2" numFmtId="0">
      <sharedItems containsMixedTypes="1" containsNumber="1" containsInteger="1" minValue="145000" maxValue="725000"/>
    </cacheField>
    <cacheField name="October 3" numFmtId="0">
      <sharedItems containsMixedTypes="1" containsNumber="1" containsInteger="1" minValue="140000" maxValue="780000" count="7">
        <s v="Previous Year_x000a_Revenue"/>
        <n v="155000"/>
        <n v="140000"/>
        <n v="165000"/>
        <n v="150000"/>
        <n v="170000"/>
        <n v="780000"/>
      </sharedItems>
    </cacheField>
    <cacheField name="November3" numFmtId="0">
      <sharedItems containsMixedTypes="1" containsNumber="1" containsInteger="1" minValue="125000" maxValue="700000" count="6">
        <s v="Previous Year_x000a_Revenue"/>
        <n v="125000"/>
        <n v="150000"/>
        <n v="145000"/>
        <n v="155000"/>
        <n v="700000"/>
      </sharedItems>
    </cacheField>
    <cacheField name="December3" numFmtId="0">
      <sharedItems containsMixedTypes="1" containsNumber="1" containsInteger="1" minValue="125000" maxValue="685000" count="6">
        <s v="Previous Year_x000a_Revenue"/>
        <n v="145000"/>
        <n v="130000"/>
        <n v="155000"/>
        <n v="125000"/>
        <n v="68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  <s v="Target Revenue"/>
    <s v="Target Revenue"/>
    <s v="Target Revenue"/>
    <x v="0"/>
    <x v="0"/>
    <x v="0"/>
  </r>
  <r>
    <x v="1"/>
    <x v="1"/>
    <x v="1"/>
    <n v="165000"/>
    <n v="155000"/>
    <n v="145000"/>
    <x v="1"/>
    <x v="1"/>
    <x v="1"/>
  </r>
  <r>
    <x v="2"/>
    <x v="2"/>
    <x v="2"/>
    <n v="165000"/>
    <n v="155000"/>
    <n v="145000"/>
    <x v="2"/>
    <x v="1"/>
    <x v="2"/>
  </r>
  <r>
    <x v="3"/>
    <x v="2"/>
    <x v="3"/>
    <n v="165000"/>
    <n v="155000"/>
    <n v="145000"/>
    <x v="3"/>
    <x v="2"/>
    <x v="3"/>
  </r>
  <r>
    <x v="4"/>
    <x v="3"/>
    <x v="4"/>
    <n v="165000"/>
    <n v="155000"/>
    <n v="145000"/>
    <x v="4"/>
    <x v="3"/>
    <x v="4"/>
  </r>
  <r>
    <x v="5"/>
    <x v="4"/>
    <x v="1"/>
    <n v="165000"/>
    <n v="155000"/>
    <n v="145000"/>
    <x v="5"/>
    <x v="4"/>
    <x v="2"/>
  </r>
  <r>
    <x v="6"/>
    <x v="5"/>
    <x v="5"/>
    <n v="825000"/>
    <n v="775000"/>
    <n v="725000"/>
    <x v="6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2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A27" firstHeaderRow="1" firstDataRow="1" firstDataCol="1" rowPageCount="3" colPageCount="1"/>
  <pivotFields count="9">
    <pivotField axis="axisPage" showAll="0">
      <items count="8">
        <item x="2"/>
        <item x="4"/>
        <item x="1"/>
        <item x="5"/>
        <item x="3"/>
        <item x="6"/>
        <item x="0"/>
        <item t="default"/>
      </items>
    </pivotField>
    <pivotField axis="axisPage" showAll="0">
      <items count="7">
        <item x="4"/>
        <item x="2"/>
        <item x="1"/>
        <item x="3"/>
        <item x="5"/>
        <item x="0"/>
        <item t="default"/>
      </items>
    </pivotField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  <pivotField axis="axisRow" showAll="0">
      <items count="8">
        <item x="2"/>
        <item x="4"/>
        <item x="1"/>
        <item x="3"/>
        <item x="5"/>
        <item x="6"/>
        <item x="0"/>
        <item t="default"/>
      </items>
    </pivotField>
    <pivotField axis="axisRow" showAll="0">
      <items count="7">
        <item x="1"/>
        <item x="3"/>
        <item x="2"/>
        <item x="4"/>
        <item x="5"/>
        <item x="0"/>
        <item t="default"/>
      </items>
    </pivotField>
    <pivotField axis="axisRow" showAll="0">
      <items count="7">
        <item x="4"/>
        <item x="2"/>
        <item x="1"/>
        <item x="3"/>
        <item x="5"/>
        <item x="0"/>
        <item t="default"/>
      </items>
    </pivotField>
  </pivotFields>
  <rowFields count="3">
    <field x="6"/>
    <field x="7"/>
    <field x="8"/>
  </rowFields>
  <rowItems count="22">
    <i>
      <x/>
    </i>
    <i r="1">
      <x/>
    </i>
    <i r="2">
      <x v="1"/>
    </i>
    <i>
      <x v="1"/>
    </i>
    <i r="1">
      <x v="1"/>
    </i>
    <i r="2">
      <x/>
    </i>
    <i>
      <x v="2"/>
    </i>
    <i r="1">
      <x/>
    </i>
    <i r="2">
      <x v="2"/>
    </i>
    <i>
      <x v="3"/>
    </i>
    <i r="1">
      <x v="2"/>
    </i>
    <i r="2">
      <x v="3"/>
    </i>
    <i>
      <x v="4"/>
    </i>
    <i r="1">
      <x v="3"/>
    </i>
    <i r="2">
      <x v="1"/>
    </i>
    <i>
      <x v="5"/>
    </i>
    <i r="1">
      <x v="4"/>
    </i>
    <i r="2">
      <x v="4"/>
    </i>
    <i>
      <x v="6"/>
    </i>
    <i r="1">
      <x v="5"/>
    </i>
    <i r="2">
      <x v="5"/>
    </i>
    <i t="grand">
      <x/>
    </i>
  </rowItems>
  <colItems count="1">
    <i/>
  </colItems>
  <pageFields count="3">
    <pageField fld="0" hier="-1"/>
    <pageField fld="1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H17" sqref="H17"/>
    </sheetView>
  </sheetViews>
  <sheetFormatPr defaultRowHeight="14.4" x14ac:dyDescent="0.3"/>
  <cols>
    <col min="1" max="1" width="26.33203125" bestFit="1" customWidth="1"/>
    <col min="2" max="2" width="6.33203125" bestFit="1" customWidth="1"/>
    <col min="3" max="3" width="7" customWidth="1"/>
    <col min="4" max="6" width="7" bestFit="1" customWidth="1"/>
    <col min="7" max="7" width="20.88671875" bestFit="1" customWidth="1"/>
    <col min="8" max="8" width="10.77734375" bestFit="1" customWidth="1"/>
    <col min="9" max="9" width="9" customWidth="1"/>
    <col min="10" max="10" width="11.6640625" customWidth="1"/>
    <col min="11" max="11" width="9" customWidth="1"/>
    <col min="12" max="12" width="11.6640625" bestFit="1" customWidth="1"/>
    <col min="13" max="13" width="22.88671875" customWidth="1"/>
    <col min="14" max="14" width="25.77734375" customWidth="1"/>
    <col min="15" max="15" width="10.77734375" customWidth="1"/>
    <col min="16" max="16" width="9" bestFit="1" customWidth="1"/>
    <col min="17" max="18" width="11.6640625" bestFit="1" customWidth="1"/>
    <col min="19" max="19" width="22.88671875" bestFit="1" customWidth="1"/>
    <col min="20" max="21" width="25.77734375" bestFit="1" customWidth="1"/>
    <col min="22" max="22" width="10.77734375" bestFit="1" customWidth="1"/>
  </cols>
  <sheetData>
    <row r="1" spans="1:2" x14ac:dyDescent="0.3">
      <c r="A1" s="64" t="s">
        <v>3</v>
      </c>
      <c r="B1" s="68" t="s">
        <v>49</v>
      </c>
    </row>
    <row r="2" spans="1:2" x14ac:dyDescent="0.3">
      <c r="A2" s="64" t="s">
        <v>4</v>
      </c>
      <c r="B2" s="68" t="s">
        <v>49</v>
      </c>
    </row>
    <row r="3" spans="1:2" x14ac:dyDescent="0.3">
      <c r="A3" s="64" t="s">
        <v>5</v>
      </c>
      <c r="B3" s="68" t="s">
        <v>49</v>
      </c>
    </row>
    <row r="5" spans="1:2" x14ac:dyDescent="0.3">
      <c r="A5" s="64" t="s">
        <v>48</v>
      </c>
    </row>
    <row r="6" spans="1:2" x14ac:dyDescent="0.3">
      <c r="A6" s="65">
        <v>140000</v>
      </c>
    </row>
    <row r="7" spans="1:2" x14ac:dyDescent="0.3">
      <c r="A7" s="66">
        <v>125000</v>
      </c>
    </row>
    <row r="8" spans="1:2" x14ac:dyDescent="0.3">
      <c r="A8" s="67">
        <v>130000</v>
      </c>
    </row>
    <row r="9" spans="1:2" x14ac:dyDescent="0.3">
      <c r="A9" s="65">
        <v>150000</v>
      </c>
    </row>
    <row r="10" spans="1:2" x14ac:dyDescent="0.3">
      <c r="A10" s="66">
        <v>145000</v>
      </c>
    </row>
    <row r="11" spans="1:2" x14ac:dyDescent="0.3">
      <c r="A11" s="67">
        <v>125000</v>
      </c>
    </row>
    <row r="12" spans="1:2" x14ac:dyDescent="0.3">
      <c r="A12" s="65">
        <v>155000</v>
      </c>
    </row>
    <row r="13" spans="1:2" x14ac:dyDescent="0.3">
      <c r="A13" s="66">
        <v>125000</v>
      </c>
    </row>
    <row r="14" spans="1:2" x14ac:dyDescent="0.3">
      <c r="A14" s="67">
        <v>145000</v>
      </c>
    </row>
    <row r="15" spans="1:2" x14ac:dyDescent="0.3">
      <c r="A15" s="65">
        <v>165000</v>
      </c>
    </row>
    <row r="16" spans="1:2" x14ac:dyDescent="0.3">
      <c r="A16" s="66">
        <v>150000</v>
      </c>
    </row>
    <row r="17" spans="1:1" x14ac:dyDescent="0.3">
      <c r="A17" s="67">
        <v>155000</v>
      </c>
    </row>
    <row r="18" spans="1:1" x14ac:dyDescent="0.3">
      <c r="A18" s="65">
        <v>170000</v>
      </c>
    </row>
    <row r="19" spans="1:1" x14ac:dyDescent="0.3">
      <c r="A19" s="66">
        <v>155000</v>
      </c>
    </row>
    <row r="20" spans="1:1" x14ac:dyDescent="0.3">
      <c r="A20" s="67">
        <v>130000</v>
      </c>
    </row>
    <row r="21" spans="1:1" x14ac:dyDescent="0.3">
      <c r="A21" s="65">
        <v>780000</v>
      </c>
    </row>
    <row r="22" spans="1:1" x14ac:dyDescent="0.3">
      <c r="A22" s="66">
        <v>700000</v>
      </c>
    </row>
    <row r="23" spans="1:1" x14ac:dyDescent="0.3">
      <c r="A23" s="67">
        <v>685000</v>
      </c>
    </row>
    <row r="24" spans="1:1" x14ac:dyDescent="0.3">
      <c r="A24" s="65" t="s">
        <v>8</v>
      </c>
    </row>
    <row r="25" spans="1:1" x14ac:dyDescent="0.3">
      <c r="A25" s="66" t="s">
        <v>8</v>
      </c>
    </row>
    <row r="26" spans="1:1" x14ac:dyDescent="0.3">
      <c r="A26" s="67" t="s">
        <v>8</v>
      </c>
    </row>
    <row r="27" spans="1:1" x14ac:dyDescent="0.3">
      <c r="A27" s="6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9"/>
  <sheetViews>
    <sheetView topLeftCell="A3" zoomScale="67" zoomScaleNormal="75" workbookViewId="0">
      <selection activeCell="F22" sqref="F22"/>
    </sheetView>
  </sheetViews>
  <sheetFormatPr defaultRowHeight="14.4" x14ac:dyDescent="0.3"/>
  <cols>
    <col min="2" max="2" width="19.21875" customWidth="1"/>
    <col min="3" max="3" width="21.77734375" customWidth="1"/>
    <col min="4" max="4" width="14.5546875" customWidth="1"/>
    <col min="5" max="5" width="14.21875" customWidth="1"/>
    <col min="6" max="6" width="14.77734375" customWidth="1"/>
    <col min="7" max="7" width="12.5546875" customWidth="1"/>
    <col min="8" max="8" width="13.21875" customWidth="1"/>
    <col min="9" max="9" width="16.77734375" customWidth="1"/>
    <col min="10" max="10" width="14.6640625" customWidth="1"/>
    <col min="11" max="11" width="14.5546875" customWidth="1"/>
    <col min="12" max="12" width="12" customWidth="1"/>
    <col min="13" max="13" width="17" customWidth="1"/>
    <col min="14" max="14" width="14.109375" customWidth="1"/>
    <col min="15" max="15" width="14.33203125" customWidth="1"/>
    <col min="16" max="16" width="13.6640625" customWidth="1"/>
    <col min="17" max="17" width="12.77734375" customWidth="1"/>
    <col min="18" max="18" width="12" customWidth="1"/>
    <col min="19" max="19" width="18.5546875" customWidth="1"/>
    <col min="20" max="20" width="13.33203125" customWidth="1"/>
    <col min="21" max="21" width="11.5546875" customWidth="1"/>
    <col min="22" max="22" width="13" customWidth="1"/>
    <col min="23" max="23" width="14.33203125" customWidth="1"/>
    <col min="24" max="24" width="15.77734375" customWidth="1"/>
    <col min="25" max="25" width="13.77734375" customWidth="1"/>
    <col min="26" max="26" width="11.6640625" customWidth="1"/>
    <col min="27" max="27" width="10.33203125" customWidth="1"/>
    <col min="28" max="28" width="10.77734375" customWidth="1"/>
    <col min="29" max="29" width="11.5546875" customWidth="1"/>
    <col min="30" max="30" width="10.77734375" customWidth="1"/>
    <col min="31" max="31" width="11.6640625" customWidth="1"/>
    <col min="32" max="32" width="9.88671875" customWidth="1"/>
    <col min="33" max="33" width="11.109375" customWidth="1"/>
    <col min="34" max="36" width="14.5546875" customWidth="1"/>
    <col min="37" max="37" width="14.6640625" customWidth="1"/>
    <col min="38" max="38" width="15.44140625" customWidth="1"/>
    <col min="39" max="39" width="15.21875" customWidth="1"/>
    <col min="40" max="40" width="12.88671875" customWidth="1"/>
    <col min="41" max="41" width="16.5546875" customWidth="1"/>
    <col min="42" max="42" width="12.88671875" customWidth="1"/>
    <col min="43" max="43" width="14.77734375" customWidth="1"/>
  </cols>
  <sheetData>
    <row r="1" spans="1:43" x14ac:dyDescent="0.3">
      <c r="H1" s="49" t="s">
        <v>42</v>
      </c>
      <c r="I1" s="48" t="s">
        <v>30</v>
      </c>
    </row>
    <row r="2" spans="1:43" x14ac:dyDescent="0.3">
      <c r="H2" s="47"/>
      <c r="I2" s="48" t="s">
        <v>34</v>
      </c>
    </row>
    <row r="3" spans="1:43" x14ac:dyDescent="0.3">
      <c r="H3" s="47"/>
      <c r="I3" s="48" t="s">
        <v>38</v>
      </c>
    </row>
    <row r="4" spans="1:43" x14ac:dyDescent="0.3">
      <c r="H4" s="47"/>
      <c r="I4" s="48" t="s">
        <v>1</v>
      </c>
    </row>
    <row r="6" spans="1:43" ht="22.2" x14ac:dyDescent="0.3">
      <c r="A6" s="6" t="s">
        <v>0</v>
      </c>
      <c r="B6" s="6"/>
      <c r="C6" s="7"/>
      <c r="D6" s="8" t="s">
        <v>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x14ac:dyDescent="0.3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7"/>
    </row>
    <row r="9" spans="1:43" ht="22.2" x14ac:dyDescent="0.3">
      <c r="A9" s="78"/>
      <c r="B9" s="1" t="s">
        <v>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1"/>
    </row>
    <row r="10" spans="1:43" x14ac:dyDescent="0.3">
      <c r="A10" s="79"/>
      <c r="B10" s="80" t="s">
        <v>3</v>
      </c>
      <c r="C10" s="80" t="s">
        <v>4</v>
      </c>
      <c r="D10" s="81" t="s">
        <v>5</v>
      </c>
      <c r="E10" s="80" t="s">
        <v>3</v>
      </c>
      <c r="F10" s="80" t="s">
        <v>4</v>
      </c>
      <c r="G10" s="80" t="s">
        <v>5</v>
      </c>
      <c r="H10" s="93" t="s">
        <v>3</v>
      </c>
      <c r="I10" s="80" t="s">
        <v>4</v>
      </c>
      <c r="J10" s="80" t="s">
        <v>5</v>
      </c>
      <c r="K10" s="93" t="s">
        <v>3</v>
      </c>
      <c r="L10" s="80" t="s">
        <v>4</v>
      </c>
      <c r="M10" s="80" t="s">
        <v>5</v>
      </c>
      <c r="N10" s="93" t="s">
        <v>3</v>
      </c>
      <c r="O10" s="80" t="s">
        <v>4</v>
      </c>
      <c r="P10" s="80" t="s">
        <v>5</v>
      </c>
      <c r="Q10" s="93" t="s">
        <v>3</v>
      </c>
      <c r="R10" s="80" t="s">
        <v>4</v>
      </c>
      <c r="S10" s="80" t="s">
        <v>5</v>
      </c>
      <c r="T10" s="93" t="s">
        <v>3</v>
      </c>
      <c r="U10" s="80" t="s">
        <v>4</v>
      </c>
      <c r="V10" s="80" t="s">
        <v>5</v>
      </c>
      <c r="W10" s="93" t="s">
        <v>3</v>
      </c>
      <c r="X10" s="80" t="s">
        <v>4</v>
      </c>
      <c r="Y10" s="80" t="s">
        <v>5</v>
      </c>
      <c r="Z10" s="93" t="s">
        <v>3</v>
      </c>
      <c r="AA10" s="80" t="s">
        <v>4</v>
      </c>
      <c r="AB10" s="80" t="s">
        <v>5</v>
      </c>
      <c r="AC10" s="93" t="s">
        <v>3</v>
      </c>
      <c r="AD10" s="80" t="s">
        <v>4</v>
      </c>
      <c r="AE10" s="80" t="s">
        <v>5</v>
      </c>
      <c r="AF10" s="93" t="s">
        <v>3</v>
      </c>
      <c r="AG10" s="80" t="s">
        <v>4</v>
      </c>
      <c r="AH10" s="81" t="s">
        <v>5</v>
      </c>
      <c r="AI10" s="80" t="s">
        <v>3</v>
      </c>
      <c r="AJ10" s="80" t="s">
        <v>4</v>
      </c>
      <c r="AK10" s="81" t="s">
        <v>5</v>
      </c>
      <c r="AL10" s="80" t="s">
        <v>3</v>
      </c>
      <c r="AM10" s="80" t="s">
        <v>4</v>
      </c>
      <c r="AN10" s="81" t="s">
        <v>5</v>
      </c>
      <c r="AO10" s="80" t="s">
        <v>3</v>
      </c>
      <c r="AP10" s="80" t="s">
        <v>4</v>
      </c>
      <c r="AQ10" s="95" t="s">
        <v>5</v>
      </c>
    </row>
    <row r="11" spans="1:43" ht="82.8" x14ac:dyDescent="0.3">
      <c r="A11" s="78"/>
      <c r="B11" s="82" t="s">
        <v>6</v>
      </c>
      <c r="C11" s="82" t="s">
        <v>6</v>
      </c>
      <c r="D11" s="83" t="s">
        <v>6</v>
      </c>
      <c r="E11" s="82" t="s">
        <v>7</v>
      </c>
      <c r="F11" s="82" t="s">
        <v>7</v>
      </c>
      <c r="G11" s="83" t="s">
        <v>7</v>
      </c>
      <c r="H11" s="84" t="s">
        <v>8</v>
      </c>
      <c r="I11" s="84" t="s">
        <v>8</v>
      </c>
      <c r="J11" s="85" t="s">
        <v>8</v>
      </c>
      <c r="K11" s="84" t="s">
        <v>9</v>
      </c>
      <c r="L11" s="84" t="s">
        <v>9</v>
      </c>
      <c r="M11" s="85" t="s">
        <v>9</v>
      </c>
      <c r="N11" s="84" t="s">
        <v>10</v>
      </c>
      <c r="O11" s="84" t="s">
        <v>10</v>
      </c>
      <c r="P11" s="85" t="s">
        <v>10</v>
      </c>
      <c r="Q11" s="84" t="s">
        <v>11</v>
      </c>
      <c r="R11" s="84" t="s">
        <v>11</v>
      </c>
      <c r="S11" s="85" t="s">
        <v>11</v>
      </c>
      <c r="T11" s="84" t="s">
        <v>12</v>
      </c>
      <c r="U11" s="84" t="s">
        <v>12</v>
      </c>
      <c r="V11" s="85" t="s">
        <v>12</v>
      </c>
      <c r="W11" s="84" t="s">
        <v>13</v>
      </c>
      <c r="X11" s="84" t="s">
        <v>13</v>
      </c>
      <c r="Y11" s="85" t="s">
        <v>13</v>
      </c>
      <c r="Z11" s="84" t="s">
        <v>14</v>
      </c>
      <c r="AA11" s="84" t="s">
        <v>14</v>
      </c>
      <c r="AB11" s="85" t="s">
        <v>14</v>
      </c>
      <c r="AC11" s="84" t="s">
        <v>15</v>
      </c>
      <c r="AD11" s="84" t="s">
        <v>15</v>
      </c>
      <c r="AE11" s="85" t="s">
        <v>15</v>
      </c>
      <c r="AF11" s="84" t="s">
        <v>16</v>
      </c>
      <c r="AG11" s="84" t="s">
        <v>16</v>
      </c>
      <c r="AH11" s="85" t="s">
        <v>16</v>
      </c>
      <c r="AI11" s="84" t="s">
        <v>17</v>
      </c>
      <c r="AJ11" s="84" t="s">
        <v>17</v>
      </c>
      <c r="AK11" s="85" t="s">
        <v>17</v>
      </c>
      <c r="AL11" s="84" t="s">
        <v>18</v>
      </c>
      <c r="AM11" s="84" t="s">
        <v>18</v>
      </c>
      <c r="AN11" s="85" t="s">
        <v>18</v>
      </c>
      <c r="AO11" s="84" t="s">
        <v>19</v>
      </c>
      <c r="AP11" s="84" t="s">
        <v>19</v>
      </c>
      <c r="AQ11" s="86" t="s">
        <v>19</v>
      </c>
    </row>
    <row r="12" spans="1:43" x14ac:dyDescent="0.3">
      <c r="A12" s="72" t="s">
        <v>20</v>
      </c>
      <c r="B12" s="69">
        <v>140000</v>
      </c>
      <c r="C12" s="69">
        <v>150000</v>
      </c>
      <c r="D12" s="73">
        <v>150000</v>
      </c>
      <c r="E12" s="69">
        <v>165000</v>
      </c>
      <c r="F12" s="69">
        <v>155000</v>
      </c>
      <c r="G12" s="73">
        <v>145000</v>
      </c>
      <c r="H12" s="69">
        <v>155000</v>
      </c>
      <c r="I12" s="69">
        <v>125000</v>
      </c>
      <c r="J12" s="73">
        <v>145000</v>
      </c>
      <c r="K12" s="70">
        <v>75</v>
      </c>
      <c r="L12" s="70">
        <v>76</v>
      </c>
      <c r="M12" s="74">
        <v>80</v>
      </c>
      <c r="N12" s="70">
        <v>20</v>
      </c>
      <c r="O12" s="70">
        <v>20</v>
      </c>
      <c r="P12" s="74">
        <v>20</v>
      </c>
      <c r="Q12" s="70">
        <v>15</v>
      </c>
      <c r="R12" s="70">
        <v>22</v>
      </c>
      <c r="S12" s="74">
        <v>25</v>
      </c>
      <c r="T12" s="70">
        <v>21</v>
      </c>
      <c r="U12" s="70">
        <v>17</v>
      </c>
      <c r="V12" s="74">
        <v>16</v>
      </c>
      <c r="W12" s="69">
        <v>4700</v>
      </c>
      <c r="X12" s="69">
        <v>7000</v>
      </c>
      <c r="Y12" s="73">
        <v>6000</v>
      </c>
      <c r="Z12" s="69">
        <v>313.33333333333331</v>
      </c>
      <c r="AA12" s="69">
        <v>318.18181818181819</v>
      </c>
      <c r="AB12" s="73">
        <v>240</v>
      </c>
      <c r="AC12" s="69">
        <v>350</v>
      </c>
      <c r="AD12" s="69">
        <v>350</v>
      </c>
      <c r="AE12" s="73">
        <v>300</v>
      </c>
      <c r="AF12" s="69">
        <v>410</v>
      </c>
      <c r="AG12" s="69">
        <v>385</v>
      </c>
      <c r="AH12" s="73">
        <v>390</v>
      </c>
      <c r="AI12" s="69">
        <v>1866.6666666666667</v>
      </c>
      <c r="AJ12" s="69">
        <v>1973.6842105263158</v>
      </c>
      <c r="AK12" s="73">
        <v>1875</v>
      </c>
      <c r="AL12" s="69">
        <v>2500</v>
      </c>
      <c r="AM12" s="69">
        <v>2700</v>
      </c>
      <c r="AN12" s="73">
        <v>2400</v>
      </c>
      <c r="AO12" s="69">
        <v>2450</v>
      </c>
      <c r="AP12" s="69">
        <v>2700</v>
      </c>
      <c r="AQ12" s="71">
        <v>2350</v>
      </c>
    </row>
    <row r="13" spans="1:43" x14ac:dyDescent="0.3">
      <c r="A13" s="72" t="s">
        <v>21</v>
      </c>
      <c r="B13" s="69">
        <v>115000</v>
      </c>
      <c r="C13" s="69">
        <v>140000</v>
      </c>
      <c r="D13" s="73">
        <v>170000</v>
      </c>
      <c r="E13" s="69">
        <v>165000</v>
      </c>
      <c r="F13" s="69">
        <v>155000</v>
      </c>
      <c r="G13" s="73">
        <v>145000</v>
      </c>
      <c r="H13" s="69">
        <v>140000</v>
      </c>
      <c r="I13" s="69">
        <v>125000</v>
      </c>
      <c r="J13" s="73">
        <v>130000</v>
      </c>
      <c r="K13" s="70">
        <v>65</v>
      </c>
      <c r="L13" s="70">
        <v>85</v>
      </c>
      <c r="M13" s="74">
        <v>70</v>
      </c>
      <c r="N13" s="70">
        <v>20</v>
      </c>
      <c r="O13" s="70">
        <v>20</v>
      </c>
      <c r="P13" s="74">
        <v>20</v>
      </c>
      <c r="Q13" s="70">
        <v>25</v>
      </c>
      <c r="R13" s="70">
        <v>18</v>
      </c>
      <c r="S13" s="74">
        <v>24</v>
      </c>
      <c r="T13" s="70">
        <v>16</v>
      </c>
      <c r="U13" s="70">
        <v>14</v>
      </c>
      <c r="V13" s="74">
        <v>21</v>
      </c>
      <c r="W13" s="69">
        <v>6000</v>
      </c>
      <c r="X13" s="69">
        <v>5000</v>
      </c>
      <c r="Y13" s="73">
        <v>8500</v>
      </c>
      <c r="Z13" s="69">
        <v>240</v>
      </c>
      <c r="AA13" s="69">
        <v>277.77777777777777</v>
      </c>
      <c r="AB13" s="73">
        <v>354.16666666666669</v>
      </c>
      <c r="AC13" s="69">
        <v>350</v>
      </c>
      <c r="AD13" s="69">
        <v>350</v>
      </c>
      <c r="AE13" s="73">
        <v>300</v>
      </c>
      <c r="AF13" s="69">
        <v>408</v>
      </c>
      <c r="AG13" s="69">
        <v>350</v>
      </c>
      <c r="AH13" s="73">
        <v>370</v>
      </c>
      <c r="AI13" s="69">
        <v>1769.2307692307693</v>
      </c>
      <c r="AJ13" s="69">
        <v>1647.0588235294117</v>
      </c>
      <c r="AK13" s="73">
        <v>2428.5714285714284</v>
      </c>
      <c r="AL13" s="69">
        <v>1800</v>
      </c>
      <c r="AM13" s="69">
        <v>2200</v>
      </c>
      <c r="AN13" s="73">
        <v>2300</v>
      </c>
      <c r="AO13" s="69">
        <v>2450</v>
      </c>
      <c r="AP13" s="69">
        <v>2700</v>
      </c>
      <c r="AQ13" s="71">
        <v>2350</v>
      </c>
    </row>
    <row r="14" spans="1:43" x14ac:dyDescent="0.3">
      <c r="A14" s="72" t="s">
        <v>22</v>
      </c>
      <c r="B14" s="69">
        <v>165000</v>
      </c>
      <c r="C14" s="69">
        <v>140000</v>
      </c>
      <c r="D14" s="73">
        <v>145000</v>
      </c>
      <c r="E14" s="69">
        <v>165000</v>
      </c>
      <c r="F14" s="69">
        <v>155000</v>
      </c>
      <c r="G14" s="73">
        <v>145000</v>
      </c>
      <c r="H14" s="69">
        <v>165000</v>
      </c>
      <c r="I14" s="69">
        <v>150000</v>
      </c>
      <c r="J14" s="73">
        <v>155000</v>
      </c>
      <c r="K14" s="70">
        <v>65</v>
      </c>
      <c r="L14" s="70">
        <v>72</v>
      </c>
      <c r="M14" s="74">
        <v>78</v>
      </c>
      <c r="N14" s="70">
        <v>20</v>
      </c>
      <c r="O14" s="70">
        <v>20</v>
      </c>
      <c r="P14" s="74">
        <v>20</v>
      </c>
      <c r="Q14" s="70">
        <v>25</v>
      </c>
      <c r="R14" s="70">
        <v>17</v>
      </c>
      <c r="S14" s="74">
        <v>14</v>
      </c>
      <c r="T14" s="70">
        <v>15</v>
      </c>
      <c r="U14" s="70">
        <v>21</v>
      </c>
      <c r="V14" s="74">
        <v>20</v>
      </c>
      <c r="W14" s="69">
        <v>4000</v>
      </c>
      <c r="X14" s="69">
        <v>8000</v>
      </c>
      <c r="Y14" s="73">
        <v>8000</v>
      </c>
      <c r="Z14" s="69">
        <v>160</v>
      </c>
      <c r="AA14" s="69">
        <v>470.58823529411762</v>
      </c>
      <c r="AB14" s="73">
        <v>571.42857142857144</v>
      </c>
      <c r="AC14" s="69">
        <v>350</v>
      </c>
      <c r="AD14" s="69">
        <v>350</v>
      </c>
      <c r="AE14" s="73">
        <v>300</v>
      </c>
      <c r="AF14" s="69">
        <v>345</v>
      </c>
      <c r="AG14" s="69">
        <v>405</v>
      </c>
      <c r="AH14" s="73">
        <v>352</v>
      </c>
      <c r="AI14" s="69">
        <v>2538.4615384615386</v>
      </c>
      <c r="AJ14" s="69">
        <v>1944.4444444444443</v>
      </c>
      <c r="AK14" s="73">
        <v>1858.9743589743589</v>
      </c>
      <c r="AL14" s="69">
        <v>2500</v>
      </c>
      <c r="AM14" s="69">
        <v>2500</v>
      </c>
      <c r="AN14" s="73">
        <v>2600</v>
      </c>
      <c r="AO14" s="69">
        <v>2450</v>
      </c>
      <c r="AP14" s="69">
        <v>2700</v>
      </c>
      <c r="AQ14" s="71">
        <v>2350</v>
      </c>
    </row>
    <row r="15" spans="1:43" x14ac:dyDescent="0.3">
      <c r="A15" s="72" t="s">
        <v>23</v>
      </c>
      <c r="B15" s="69">
        <v>125000</v>
      </c>
      <c r="C15" s="69">
        <v>155000</v>
      </c>
      <c r="D15" s="73">
        <v>155000</v>
      </c>
      <c r="E15" s="69">
        <v>165000</v>
      </c>
      <c r="F15" s="69">
        <v>155000</v>
      </c>
      <c r="G15" s="73">
        <v>145000</v>
      </c>
      <c r="H15" s="69">
        <v>150000</v>
      </c>
      <c r="I15" s="69">
        <v>145000</v>
      </c>
      <c r="J15" s="73">
        <v>125000</v>
      </c>
      <c r="K15" s="70">
        <v>65</v>
      </c>
      <c r="L15" s="70">
        <v>70</v>
      </c>
      <c r="M15" s="74">
        <v>85</v>
      </c>
      <c r="N15" s="70">
        <v>20</v>
      </c>
      <c r="O15" s="70">
        <v>20</v>
      </c>
      <c r="P15" s="74">
        <v>20</v>
      </c>
      <c r="Q15" s="70">
        <v>19</v>
      </c>
      <c r="R15" s="70">
        <v>15</v>
      </c>
      <c r="S15" s="74">
        <v>21</v>
      </c>
      <c r="T15" s="70">
        <v>22</v>
      </c>
      <c r="U15" s="70">
        <v>20</v>
      </c>
      <c r="V15" s="74">
        <v>17</v>
      </c>
      <c r="W15" s="69">
        <v>9000</v>
      </c>
      <c r="X15" s="69">
        <v>8500</v>
      </c>
      <c r="Y15" s="73">
        <v>7000</v>
      </c>
      <c r="Z15" s="69">
        <v>473.68421052631578</v>
      </c>
      <c r="AA15" s="69">
        <v>566.66666666666663</v>
      </c>
      <c r="AB15" s="73">
        <v>333.33333333333331</v>
      </c>
      <c r="AC15" s="69">
        <v>350</v>
      </c>
      <c r="AD15" s="69">
        <v>350</v>
      </c>
      <c r="AE15" s="73">
        <v>300</v>
      </c>
      <c r="AF15" s="69">
        <v>350</v>
      </c>
      <c r="AG15" s="69">
        <v>400</v>
      </c>
      <c r="AH15" s="73">
        <v>388</v>
      </c>
      <c r="AI15" s="69">
        <v>1923.0769230769231</v>
      </c>
      <c r="AJ15" s="69">
        <v>2214.2857142857142</v>
      </c>
      <c r="AK15" s="73">
        <v>1823.5294117647059</v>
      </c>
      <c r="AL15" s="69">
        <v>2100</v>
      </c>
      <c r="AM15" s="69">
        <v>2400</v>
      </c>
      <c r="AN15" s="73">
        <v>2400</v>
      </c>
      <c r="AO15" s="69">
        <v>2450</v>
      </c>
      <c r="AP15" s="69">
        <v>2700</v>
      </c>
      <c r="AQ15" s="71">
        <v>2350</v>
      </c>
    </row>
    <row r="16" spans="1:43" x14ac:dyDescent="0.3">
      <c r="A16" s="72" t="s">
        <v>24</v>
      </c>
      <c r="B16" s="69">
        <v>150000</v>
      </c>
      <c r="C16" s="69">
        <v>130000</v>
      </c>
      <c r="D16" s="73">
        <v>150000</v>
      </c>
      <c r="E16" s="69">
        <v>165000</v>
      </c>
      <c r="F16" s="69">
        <v>155000</v>
      </c>
      <c r="G16" s="73">
        <v>145000</v>
      </c>
      <c r="H16" s="69">
        <v>170000</v>
      </c>
      <c r="I16" s="69">
        <v>155000</v>
      </c>
      <c r="J16" s="73">
        <v>130000</v>
      </c>
      <c r="K16" s="70">
        <v>75</v>
      </c>
      <c r="L16" s="70">
        <v>63</v>
      </c>
      <c r="M16" s="74">
        <v>80</v>
      </c>
      <c r="N16" s="70">
        <v>20</v>
      </c>
      <c r="O16" s="70">
        <v>20</v>
      </c>
      <c r="P16" s="74">
        <v>20</v>
      </c>
      <c r="Q16" s="70">
        <v>24</v>
      </c>
      <c r="R16" s="70">
        <v>15</v>
      </c>
      <c r="S16" s="74">
        <v>30</v>
      </c>
      <c r="T16" s="70">
        <v>23</v>
      </c>
      <c r="U16" s="70">
        <v>24</v>
      </c>
      <c r="V16" s="74">
        <v>20</v>
      </c>
      <c r="W16" s="69">
        <v>9500</v>
      </c>
      <c r="X16" s="69">
        <v>9000</v>
      </c>
      <c r="Y16" s="73">
        <v>8000</v>
      </c>
      <c r="Z16" s="69">
        <v>395.83333333333331</v>
      </c>
      <c r="AA16" s="69">
        <v>600</v>
      </c>
      <c r="AB16" s="73">
        <v>266.66666666666669</v>
      </c>
      <c r="AC16" s="69">
        <v>350</v>
      </c>
      <c r="AD16" s="69">
        <v>350</v>
      </c>
      <c r="AE16" s="73">
        <v>300</v>
      </c>
      <c r="AF16" s="69">
        <v>360</v>
      </c>
      <c r="AG16" s="69">
        <v>350</v>
      </c>
      <c r="AH16" s="73">
        <v>425</v>
      </c>
      <c r="AI16" s="69">
        <v>2000</v>
      </c>
      <c r="AJ16" s="69">
        <v>2063.4920634920636</v>
      </c>
      <c r="AK16" s="73">
        <v>1875</v>
      </c>
      <c r="AL16" s="69">
        <v>2100</v>
      </c>
      <c r="AM16" s="69">
        <v>2800</v>
      </c>
      <c r="AN16" s="73">
        <v>3000</v>
      </c>
      <c r="AO16" s="69">
        <v>2450</v>
      </c>
      <c r="AP16" s="69">
        <v>2700</v>
      </c>
      <c r="AQ16" s="71">
        <v>2350</v>
      </c>
    </row>
    <row r="17" spans="1:43" ht="15" thickBot="1" x14ac:dyDescent="0.35">
      <c r="A17" s="87" t="s">
        <v>25</v>
      </c>
      <c r="B17" s="88">
        <v>695000</v>
      </c>
      <c r="C17" s="88">
        <v>715000</v>
      </c>
      <c r="D17" s="89">
        <v>770000</v>
      </c>
      <c r="E17" s="88">
        <v>825000</v>
      </c>
      <c r="F17" s="88">
        <v>775000</v>
      </c>
      <c r="G17" s="89">
        <v>725000</v>
      </c>
      <c r="H17" s="88">
        <v>780000</v>
      </c>
      <c r="I17" s="88">
        <v>700000</v>
      </c>
      <c r="J17" s="89">
        <v>685000</v>
      </c>
      <c r="K17" s="90">
        <v>345</v>
      </c>
      <c r="L17" s="90">
        <v>366</v>
      </c>
      <c r="M17" s="91">
        <v>393</v>
      </c>
      <c r="N17" s="90">
        <v>100</v>
      </c>
      <c r="O17" s="90">
        <v>100</v>
      </c>
      <c r="P17" s="91">
        <v>100</v>
      </c>
      <c r="Q17" s="90">
        <v>108</v>
      </c>
      <c r="R17" s="90">
        <v>87</v>
      </c>
      <c r="S17" s="91">
        <v>114</v>
      </c>
      <c r="T17" s="90">
        <v>97</v>
      </c>
      <c r="U17" s="90">
        <v>96</v>
      </c>
      <c r="V17" s="91">
        <v>94</v>
      </c>
      <c r="W17" s="88">
        <v>33200</v>
      </c>
      <c r="X17" s="88">
        <v>37500</v>
      </c>
      <c r="Y17" s="89">
        <v>37500</v>
      </c>
      <c r="Z17" s="88">
        <v>316.57017543859649</v>
      </c>
      <c r="AA17" s="88">
        <v>446.64289958407608</v>
      </c>
      <c r="AB17" s="88">
        <v>353.11904761904759</v>
      </c>
      <c r="AC17" s="94">
        <v>350</v>
      </c>
      <c r="AD17" s="88">
        <v>350</v>
      </c>
      <c r="AE17" s="88">
        <v>300</v>
      </c>
      <c r="AF17" s="94">
        <v>374.6</v>
      </c>
      <c r="AG17" s="88">
        <v>378</v>
      </c>
      <c r="AH17" s="88">
        <v>385</v>
      </c>
      <c r="AI17" s="94">
        <v>2019.4871794871797</v>
      </c>
      <c r="AJ17" s="88">
        <v>1968.5930512555901</v>
      </c>
      <c r="AK17" s="88">
        <v>1972.2150398620986</v>
      </c>
      <c r="AL17" s="94">
        <v>2200</v>
      </c>
      <c r="AM17" s="88">
        <v>2520</v>
      </c>
      <c r="AN17" s="88">
        <v>2540</v>
      </c>
      <c r="AO17" s="94">
        <v>2450</v>
      </c>
      <c r="AP17" s="88">
        <v>2700</v>
      </c>
      <c r="AQ17" s="92">
        <v>2350</v>
      </c>
    </row>
    <row r="19" spans="1:43" x14ac:dyDescent="0.3">
      <c r="A19" s="3" t="s">
        <v>26</v>
      </c>
      <c r="B19" s="2"/>
      <c r="C19" s="4">
        <v>9255000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x14ac:dyDescent="0.3">
      <c r="A20" s="3" t="s">
        <v>27</v>
      </c>
      <c r="B20" s="2"/>
      <c r="C20" s="9">
        <v>3799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x14ac:dyDescent="0.3">
      <c r="A21" s="3" t="s">
        <v>28</v>
      </c>
      <c r="B21" s="2"/>
      <c r="C21" s="9">
        <v>1228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x14ac:dyDescent="0.3">
      <c r="A22" s="3" t="s">
        <v>29</v>
      </c>
      <c r="B22" s="2"/>
      <c r="C22" s="4">
        <v>2436.1674124769675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6" spans="1:43" ht="15" thickBo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x14ac:dyDescent="0.3">
      <c r="A27" s="2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4"/>
    </row>
    <row r="28" spans="1:43" ht="22.2" x14ac:dyDescent="0.3">
      <c r="A28" s="27"/>
      <c r="B28" s="12" t="s">
        <v>30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45"/>
      <c r="AQ28" s="46"/>
    </row>
    <row r="29" spans="1:43" x14ac:dyDescent="0.3">
      <c r="A29" s="28"/>
      <c r="B29" s="37" t="s">
        <v>31</v>
      </c>
      <c r="C29" s="37" t="s">
        <v>32</v>
      </c>
      <c r="D29" s="38" t="s">
        <v>33</v>
      </c>
      <c r="E29" s="37" t="s">
        <v>31</v>
      </c>
      <c r="F29" s="37" t="s">
        <v>32</v>
      </c>
      <c r="G29" s="38" t="s">
        <v>33</v>
      </c>
      <c r="H29" s="37" t="s">
        <v>31</v>
      </c>
      <c r="I29" s="37" t="s">
        <v>32</v>
      </c>
      <c r="J29" s="38" t="s">
        <v>33</v>
      </c>
      <c r="K29" s="37" t="s">
        <v>31</v>
      </c>
      <c r="L29" s="37" t="s">
        <v>32</v>
      </c>
      <c r="M29" s="38" t="s">
        <v>33</v>
      </c>
      <c r="N29" s="37" t="s">
        <v>31</v>
      </c>
      <c r="O29" s="37" t="s">
        <v>32</v>
      </c>
      <c r="P29" s="38" t="s">
        <v>33</v>
      </c>
      <c r="Q29" s="37" t="s">
        <v>31</v>
      </c>
      <c r="R29" s="37" t="s">
        <v>32</v>
      </c>
      <c r="S29" s="38" t="s">
        <v>33</v>
      </c>
      <c r="T29" s="37" t="s">
        <v>31</v>
      </c>
      <c r="U29" s="37" t="s">
        <v>32</v>
      </c>
      <c r="V29" s="41" t="s">
        <v>33</v>
      </c>
      <c r="W29" s="37" t="s">
        <v>31</v>
      </c>
      <c r="X29" s="37" t="s">
        <v>32</v>
      </c>
      <c r="Y29" s="41" t="s">
        <v>33</v>
      </c>
      <c r="Z29" s="37" t="s">
        <v>31</v>
      </c>
      <c r="AA29" s="37" t="s">
        <v>32</v>
      </c>
      <c r="AB29" s="41" t="s">
        <v>33</v>
      </c>
      <c r="AC29" s="37" t="s">
        <v>31</v>
      </c>
      <c r="AD29" s="37" t="s">
        <v>32</v>
      </c>
      <c r="AE29" s="41" t="s">
        <v>33</v>
      </c>
      <c r="AF29" s="37" t="s">
        <v>31</v>
      </c>
      <c r="AG29" s="37" t="s">
        <v>32</v>
      </c>
      <c r="AH29" s="41" t="s">
        <v>33</v>
      </c>
      <c r="AI29" s="37" t="s">
        <v>31</v>
      </c>
      <c r="AJ29" s="37" t="s">
        <v>32</v>
      </c>
      <c r="AK29" s="41" t="s">
        <v>33</v>
      </c>
      <c r="AL29" s="37" t="s">
        <v>31</v>
      </c>
      <c r="AM29" s="37" t="s">
        <v>32</v>
      </c>
      <c r="AN29" s="41" t="s">
        <v>33</v>
      </c>
      <c r="AO29" s="37" t="s">
        <v>31</v>
      </c>
      <c r="AP29" s="39" t="s">
        <v>32</v>
      </c>
      <c r="AQ29" s="40" t="s">
        <v>33</v>
      </c>
    </row>
    <row r="30" spans="1:43" ht="96.6" x14ac:dyDescent="0.3">
      <c r="A30" s="27"/>
      <c r="B30" s="15" t="s">
        <v>6</v>
      </c>
      <c r="C30" s="15" t="s">
        <v>6</v>
      </c>
      <c r="D30" s="31" t="s">
        <v>6</v>
      </c>
      <c r="E30" s="15" t="s">
        <v>7</v>
      </c>
      <c r="F30" s="15" t="s">
        <v>7</v>
      </c>
      <c r="G30" s="31" t="s">
        <v>7</v>
      </c>
      <c r="H30" s="16" t="s">
        <v>8</v>
      </c>
      <c r="I30" s="16" t="s">
        <v>8</v>
      </c>
      <c r="J30" s="34" t="s">
        <v>8</v>
      </c>
      <c r="K30" s="16" t="s">
        <v>9</v>
      </c>
      <c r="L30" s="16" t="s">
        <v>9</v>
      </c>
      <c r="M30" s="34" t="s">
        <v>9</v>
      </c>
      <c r="N30" s="16" t="s">
        <v>10</v>
      </c>
      <c r="O30" s="16" t="s">
        <v>10</v>
      </c>
      <c r="P30" s="34" t="s">
        <v>10</v>
      </c>
      <c r="Q30" s="16" t="s">
        <v>11</v>
      </c>
      <c r="R30" s="16" t="s">
        <v>11</v>
      </c>
      <c r="S30" s="34" t="s">
        <v>11</v>
      </c>
      <c r="T30" s="16" t="s">
        <v>12</v>
      </c>
      <c r="U30" s="16" t="s">
        <v>12</v>
      </c>
      <c r="V30" s="34" t="s">
        <v>12</v>
      </c>
      <c r="W30" s="16" t="s">
        <v>13</v>
      </c>
      <c r="X30" s="16" t="s">
        <v>13</v>
      </c>
      <c r="Y30" s="34" t="s">
        <v>13</v>
      </c>
      <c r="Z30" s="16" t="s">
        <v>14</v>
      </c>
      <c r="AA30" s="16" t="s">
        <v>14</v>
      </c>
      <c r="AB30" s="34" t="s">
        <v>14</v>
      </c>
      <c r="AC30" s="16" t="s">
        <v>15</v>
      </c>
      <c r="AD30" s="16" t="s">
        <v>15</v>
      </c>
      <c r="AE30" s="16" t="s">
        <v>15</v>
      </c>
      <c r="AF30" s="44" t="s">
        <v>16</v>
      </c>
      <c r="AG30" s="16" t="s">
        <v>16</v>
      </c>
      <c r="AH30" s="34" t="s">
        <v>16</v>
      </c>
      <c r="AI30" s="16" t="s">
        <v>17</v>
      </c>
      <c r="AJ30" s="16" t="s">
        <v>17</v>
      </c>
      <c r="AK30" s="34" t="s">
        <v>17</v>
      </c>
      <c r="AL30" s="16" t="s">
        <v>18</v>
      </c>
      <c r="AM30" s="16" t="s">
        <v>18</v>
      </c>
      <c r="AN30" s="34" t="s">
        <v>18</v>
      </c>
      <c r="AO30" s="16" t="s">
        <v>19</v>
      </c>
      <c r="AP30" s="16" t="s">
        <v>19</v>
      </c>
      <c r="AQ30" s="17" t="s">
        <v>19</v>
      </c>
    </row>
    <row r="31" spans="1:43" x14ac:dyDescent="0.3">
      <c r="A31" s="29" t="s">
        <v>20</v>
      </c>
      <c r="B31" s="18">
        <v>125000</v>
      </c>
      <c r="C31" s="18">
        <v>130000</v>
      </c>
      <c r="D31" s="32">
        <v>160000</v>
      </c>
      <c r="E31" s="18">
        <v>150000</v>
      </c>
      <c r="F31" s="18">
        <v>140000</v>
      </c>
      <c r="G31" s="32">
        <v>150000</v>
      </c>
      <c r="H31" s="18">
        <v>115000</v>
      </c>
      <c r="I31" s="18">
        <v>140000</v>
      </c>
      <c r="J31" s="32">
        <v>160000</v>
      </c>
      <c r="K31" s="19">
        <v>57</v>
      </c>
      <c r="L31" s="19">
        <v>58</v>
      </c>
      <c r="M31" s="35">
        <v>63</v>
      </c>
      <c r="N31" s="19">
        <v>25</v>
      </c>
      <c r="O31" s="19">
        <v>20</v>
      </c>
      <c r="P31" s="35">
        <v>25</v>
      </c>
      <c r="Q31" s="19">
        <v>10</v>
      </c>
      <c r="R31" s="19">
        <v>11</v>
      </c>
      <c r="S31" s="35">
        <v>18</v>
      </c>
      <c r="T31" s="19">
        <v>9</v>
      </c>
      <c r="U31" s="19">
        <v>12</v>
      </c>
      <c r="V31" s="35">
        <v>14</v>
      </c>
      <c r="W31" s="18">
        <v>4200</v>
      </c>
      <c r="X31" s="18">
        <v>5000</v>
      </c>
      <c r="Y31" s="32">
        <v>5500</v>
      </c>
      <c r="Z31" s="18">
        <v>420</v>
      </c>
      <c r="AA31" s="18">
        <v>454.54545454545456</v>
      </c>
      <c r="AB31" s="32">
        <v>305.55555555555554</v>
      </c>
      <c r="AC31" s="18">
        <v>350</v>
      </c>
      <c r="AD31" s="18">
        <v>350</v>
      </c>
      <c r="AE31" s="32">
        <v>350</v>
      </c>
      <c r="AF31" s="18">
        <v>400</v>
      </c>
      <c r="AG31" s="18">
        <v>385</v>
      </c>
      <c r="AH31" s="32">
        <v>390</v>
      </c>
      <c r="AI31" s="18">
        <v>2192.9824561403507</v>
      </c>
      <c r="AJ31" s="18">
        <v>2241.3793103448274</v>
      </c>
      <c r="AK31" s="32">
        <v>2539.6825396825398</v>
      </c>
      <c r="AL31" s="18">
        <v>2200</v>
      </c>
      <c r="AM31" s="18">
        <v>2100</v>
      </c>
      <c r="AN31" s="32">
        <v>2400</v>
      </c>
      <c r="AO31" s="18">
        <v>2500</v>
      </c>
      <c r="AP31" s="18">
        <v>2600</v>
      </c>
      <c r="AQ31" s="20">
        <v>2400</v>
      </c>
    </row>
    <row r="32" spans="1:43" x14ac:dyDescent="0.3">
      <c r="A32" s="29" t="s">
        <v>21</v>
      </c>
      <c r="B32" s="18">
        <v>180000</v>
      </c>
      <c r="C32" s="18">
        <v>160000</v>
      </c>
      <c r="D32" s="32">
        <v>185000</v>
      </c>
      <c r="E32" s="18">
        <v>150000</v>
      </c>
      <c r="F32" s="18">
        <v>140000</v>
      </c>
      <c r="G32" s="32">
        <v>150000</v>
      </c>
      <c r="H32" s="18">
        <v>160000</v>
      </c>
      <c r="I32" s="18">
        <v>130000</v>
      </c>
      <c r="J32" s="32">
        <v>125000</v>
      </c>
      <c r="K32" s="19">
        <v>74</v>
      </c>
      <c r="L32" s="19">
        <v>70</v>
      </c>
      <c r="M32" s="35">
        <v>74</v>
      </c>
      <c r="N32" s="19">
        <v>25</v>
      </c>
      <c r="O32" s="19">
        <v>20</v>
      </c>
      <c r="P32" s="35">
        <v>25</v>
      </c>
      <c r="Q32" s="19">
        <v>22</v>
      </c>
      <c r="R32" s="19">
        <v>23</v>
      </c>
      <c r="S32" s="35">
        <v>26</v>
      </c>
      <c r="T32" s="19">
        <v>17</v>
      </c>
      <c r="U32" s="19">
        <v>24</v>
      </c>
      <c r="V32" s="35">
        <v>22</v>
      </c>
      <c r="W32" s="18">
        <v>7800</v>
      </c>
      <c r="X32" s="18">
        <v>10000</v>
      </c>
      <c r="Y32" s="32">
        <v>9000</v>
      </c>
      <c r="Z32" s="18">
        <v>354.54545454545456</v>
      </c>
      <c r="AA32" s="18">
        <v>434.78260869565219</v>
      </c>
      <c r="AB32" s="32">
        <v>346.15384615384613</v>
      </c>
      <c r="AC32" s="18">
        <v>350</v>
      </c>
      <c r="AD32" s="18">
        <v>350</v>
      </c>
      <c r="AE32" s="32">
        <v>350</v>
      </c>
      <c r="AF32" s="18">
        <v>402</v>
      </c>
      <c r="AG32" s="18">
        <v>290</v>
      </c>
      <c r="AH32" s="32">
        <v>380</v>
      </c>
      <c r="AI32" s="18">
        <v>2432.4324324324325</v>
      </c>
      <c r="AJ32" s="18">
        <v>2285.7142857142858</v>
      </c>
      <c r="AK32" s="32">
        <v>2500</v>
      </c>
      <c r="AL32" s="18">
        <v>2100</v>
      </c>
      <c r="AM32" s="18">
        <v>2200</v>
      </c>
      <c r="AN32" s="32">
        <v>2300</v>
      </c>
      <c r="AO32" s="18">
        <v>2500</v>
      </c>
      <c r="AP32" s="18">
        <v>2600</v>
      </c>
      <c r="AQ32" s="20">
        <v>2400</v>
      </c>
    </row>
    <row r="33" spans="1:43" x14ac:dyDescent="0.3">
      <c r="A33" s="29" t="s">
        <v>22</v>
      </c>
      <c r="B33" s="18">
        <v>170000</v>
      </c>
      <c r="C33" s="18">
        <v>135000</v>
      </c>
      <c r="D33" s="32">
        <v>145000</v>
      </c>
      <c r="E33" s="18">
        <v>150000</v>
      </c>
      <c r="F33" s="18">
        <v>140000</v>
      </c>
      <c r="G33" s="32">
        <v>150000</v>
      </c>
      <c r="H33" s="18">
        <v>170000</v>
      </c>
      <c r="I33" s="18">
        <v>145000</v>
      </c>
      <c r="J33" s="32">
        <v>130000</v>
      </c>
      <c r="K33" s="19">
        <v>70</v>
      </c>
      <c r="L33" s="19">
        <v>55</v>
      </c>
      <c r="M33" s="35">
        <v>61</v>
      </c>
      <c r="N33" s="19">
        <v>25</v>
      </c>
      <c r="O33" s="19">
        <v>20</v>
      </c>
      <c r="P33" s="35">
        <v>25</v>
      </c>
      <c r="Q33" s="19">
        <v>35</v>
      </c>
      <c r="R33" s="19">
        <v>20</v>
      </c>
      <c r="S33" s="35">
        <v>17</v>
      </c>
      <c r="T33" s="19">
        <v>36</v>
      </c>
      <c r="U33" s="19">
        <v>25</v>
      </c>
      <c r="V33" s="35">
        <v>21</v>
      </c>
      <c r="W33" s="18">
        <v>13200</v>
      </c>
      <c r="X33" s="18">
        <v>9500</v>
      </c>
      <c r="Y33" s="32">
        <v>8300</v>
      </c>
      <c r="Z33" s="18">
        <v>377.14285714285717</v>
      </c>
      <c r="AA33" s="18">
        <v>475</v>
      </c>
      <c r="AB33" s="32">
        <v>488.23529411764707</v>
      </c>
      <c r="AC33" s="18">
        <v>350</v>
      </c>
      <c r="AD33" s="18">
        <v>350</v>
      </c>
      <c r="AE33" s="32">
        <v>350</v>
      </c>
      <c r="AF33" s="18">
        <v>350</v>
      </c>
      <c r="AG33" s="18">
        <v>385</v>
      </c>
      <c r="AH33" s="32">
        <v>352</v>
      </c>
      <c r="AI33" s="18">
        <v>2428.5714285714284</v>
      </c>
      <c r="AJ33" s="18">
        <v>2454.5454545454545</v>
      </c>
      <c r="AK33" s="32">
        <v>2377.0491803278687</v>
      </c>
      <c r="AL33" s="18">
        <v>2500</v>
      </c>
      <c r="AM33" s="18">
        <v>2500</v>
      </c>
      <c r="AN33" s="32">
        <v>2300</v>
      </c>
      <c r="AO33" s="18">
        <v>2500</v>
      </c>
      <c r="AP33" s="18">
        <v>2600</v>
      </c>
      <c r="AQ33" s="20">
        <v>2400</v>
      </c>
    </row>
    <row r="34" spans="1:43" x14ac:dyDescent="0.3">
      <c r="A34" s="29" t="s">
        <v>23</v>
      </c>
      <c r="B34" s="18">
        <v>150000</v>
      </c>
      <c r="C34" s="18">
        <v>175000</v>
      </c>
      <c r="D34" s="32">
        <v>155000</v>
      </c>
      <c r="E34" s="18">
        <v>150000</v>
      </c>
      <c r="F34" s="18">
        <v>140000</v>
      </c>
      <c r="G34" s="32">
        <v>150000</v>
      </c>
      <c r="H34" s="18">
        <v>165000</v>
      </c>
      <c r="I34" s="18">
        <v>155000</v>
      </c>
      <c r="J34" s="32">
        <v>140000</v>
      </c>
      <c r="K34" s="19">
        <v>66</v>
      </c>
      <c r="L34" s="19">
        <v>68</v>
      </c>
      <c r="M34" s="35">
        <v>63</v>
      </c>
      <c r="N34" s="19">
        <v>25</v>
      </c>
      <c r="O34" s="19">
        <v>20</v>
      </c>
      <c r="P34" s="35">
        <v>25</v>
      </c>
      <c r="Q34" s="19">
        <v>18</v>
      </c>
      <c r="R34" s="19">
        <v>14</v>
      </c>
      <c r="S34" s="35">
        <v>24</v>
      </c>
      <c r="T34" s="19">
        <v>14</v>
      </c>
      <c r="U34" s="19">
        <v>25</v>
      </c>
      <c r="V34" s="35">
        <v>22</v>
      </c>
      <c r="W34" s="18">
        <v>6500</v>
      </c>
      <c r="X34" s="18">
        <v>9000</v>
      </c>
      <c r="Y34" s="32">
        <v>8500</v>
      </c>
      <c r="Z34" s="18">
        <v>361.11111111111109</v>
      </c>
      <c r="AA34" s="18">
        <v>642.85714285714289</v>
      </c>
      <c r="AB34" s="32">
        <v>354.16666666666669</v>
      </c>
      <c r="AC34" s="18">
        <v>350</v>
      </c>
      <c r="AD34" s="18">
        <v>350</v>
      </c>
      <c r="AE34" s="32">
        <v>350</v>
      </c>
      <c r="AF34" s="18">
        <v>350</v>
      </c>
      <c r="AG34" s="18">
        <v>360</v>
      </c>
      <c r="AH34" s="32">
        <v>388</v>
      </c>
      <c r="AI34" s="18">
        <v>2272.7272727272725</v>
      </c>
      <c r="AJ34" s="18">
        <v>2573.5294117647059</v>
      </c>
      <c r="AK34" s="32">
        <v>2460.3174603174602</v>
      </c>
      <c r="AL34" s="18">
        <v>2200</v>
      </c>
      <c r="AM34" s="18">
        <v>2600</v>
      </c>
      <c r="AN34" s="32">
        <v>2400</v>
      </c>
      <c r="AO34" s="18">
        <v>2500</v>
      </c>
      <c r="AP34" s="18">
        <v>2600</v>
      </c>
      <c r="AQ34" s="20">
        <v>2400</v>
      </c>
    </row>
    <row r="35" spans="1:43" x14ac:dyDescent="0.3">
      <c r="A35" s="29" t="s">
        <v>24</v>
      </c>
      <c r="B35" s="18">
        <v>135000</v>
      </c>
      <c r="C35" s="18">
        <v>190000</v>
      </c>
      <c r="D35" s="32">
        <v>140000</v>
      </c>
      <c r="E35" s="18">
        <v>150000</v>
      </c>
      <c r="F35" s="18">
        <v>140000</v>
      </c>
      <c r="G35" s="32">
        <v>150000</v>
      </c>
      <c r="H35" s="18">
        <v>155000</v>
      </c>
      <c r="I35" s="18">
        <v>120000</v>
      </c>
      <c r="J35" s="32">
        <v>150000</v>
      </c>
      <c r="K35" s="19">
        <v>71</v>
      </c>
      <c r="L35" s="19">
        <v>62</v>
      </c>
      <c r="M35" s="35">
        <v>51</v>
      </c>
      <c r="N35" s="19">
        <v>25</v>
      </c>
      <c r="O35" s="19">
        <v>20</v>
      </c>
      <c r="P35" s="35">
        <v>25</v>
      </c>
      <c r="Q35" s="19">
        <v>33</v>
      </c>
      <c r="R35" s="19">
        <v>20</v>
      </c>
      <c r="S35" s="35">
        <v>16</v>
      </c>
      <c r="T35" s="19">
        <v>20</v>
      </c>
      <c r="U35" s="19">
        <v>25</v>
      </c>
      <c r="V35" s="35">
        <v>24</v>
      </c>
      <c r="W35" s="18">
        <v>12100</v>
      </c>
      <c r="X35" s="18">
        <v>10800</v>
      </c>
      <c r="Y35" s="32">
        <v>10500</v>
      </c>
      <c r="Z35" s="18">
        <v>366.66666666666669</v>
      </c>
      <c r="AA35" s="18">
        <v>540</v>
      </c>
      <c r="AB35" s="32">
        <v>656.25</v>
      </c>
      <c r="AC35" s="18">
        <v>350</v>
      </c>
      <c r="AD35" s="18">
        <v>350</v>
      </c>
      <c r="AE35" s="32">
        <v>350</v>
      </c>
      <c r="AF35" s="18">
        <v>385</v>
      </c>
      <c r="AG35" s="18">
        <v>350</v>
      </c>
      <c r="AH35" s="32">
        <v>406</v>
      </c>
      <c r="AI35" s="18">
        <v>1901.4084507042253</v>
      </c>
      <c r="AJ35" s="18">
        <v>3064.516129032258</v>
      </c>
      <c r="AK35" s="32">
        <v>2745.0980392156862</v>
      </c>
      <c r="AL35" s="18">
        <v>2100</v>
      </c>
      <c r="AM35" s="18">
        <v>2800</v>
      </c>
      <c r="AN35" s="32">
        <v>2700</v>
      </c>
      <c r="AO35" s="18">
        <v>2500</v>
      </c>
      <c r="AP35" s="18">
        <v>2600</v>
      </c>
      <c r="AQ35" s="20">
        <v>2400</v>
      </c>
    </row>
    <row r="36" spans="1:43" ht="15" thickBot="1" x14ac:dyDescent="0.35">
      <c r="A36" s="30" t="s">
        <v>25</v>
      </c>
      <c r="B36" s="21">
        <v>760000</v>
      </c>
      <c r="C36" s="21">
        <v>790000</v>
      </c>
      <c r="D36" s="33">
        <v>785000</v>
      </c>
      <c r="E36" s="21">
        <v>750000</v>
      </c>
      <c r="F36" s="21">
        <v>700000</v>
      </c>
      <c r="G36" s="33">
        <v>750000</v>
      </c>
      <c r="H36" s="21">
        <v>765000</v>
      </c>
      <c r="I36" s="21">
        <v>690000</v>
      </c>
      <c r="J36" s="33">
        <v>705000</v>
      </c>
      <c r="K36" s="25">
        <v>338</v>
      </c>
      <c r="L36" s="25">
        <v>313</v>
      </c>
      <c r="M36" s="36">
        <v>312</v>
      </c>
      <c r="N36" s="25">
        <v>125</v>
      </c>
      <c r="O36" s="25">
        <v>100</v>
      </c>
      <c r="P36" s="36">
        <v>125</v>
      </c>
      <c r="Q36" s="25">
        <v>118</v>
      </c>
      <c r="R36" s="25">
        <v>88</v>
      </c>
      <c r="S36" s="36">
        <v>101</v>
      </c>
      <c r="T36" s="25">
        <v>96</v>
      </c>
      <c r="U36" s="25">
        <v>111</v>
      </c>
      <c r="V36" s="36">
        <v>103</v>
      </c>
      <c r="W36" s="21">
        <v>43800</v>
      </c>
      <c r="X36" s="21">
        <v>44300</v>
      </c>
      <c r="Y36" s="33">
        <v>41800</v>
      </c>
      <c r="Z36" s="21">
        <v>375.89321789321787</v>
      </c>
      <c r="AA36" s="21">
        <v>509.43704121964993</v>
      </c>
      <c r="AB36" s="33">
        <v>430.07227249874302</v>
      </c>
      <c r="AC36" s="21">
        <v>350</v>
      </c>
      <c r="AD36" s="21">
        <v>350</v>
      </c>
      <c r="AE36" s="33">
        <v>350</v>
      </c>
      <c r="AF36" s="21">
        <v>377.4</v>
      </c>
      <c r="AG36" s="21">
        <v>354</v>
      </c>
      <c r="AH36" s="33">
        <v>383.2</v>
      </c>
      <c r="AI36" s="21">
        <v>2245.6244081151417</v>
      </c>
      <c r="AJ36" s="21">
        <v>2523.9369182803066</v>
      </c>
      <c r="AK36" s="33">
        <v>2524.4294439087107</v>
      </c>
      <c r="AL36" s="21">
        <v>2220</v>
      </c>
      <c r="AM36" s="21">
        <v>2440</v>
      </c>
      <c r="AN36" s="33">
        <v>2420</v>
      </c>
      <c r="AO36" s="21">
        <v>2500</v>
      </c>
      <c r="AP36" s="21">
        <v>2600</v>
      </c>
      <c r="AQ36" s="22">
        <v>2400</v>
      </c>
    </row>
    <row r="37" spans="1:43" ht="15" thickBo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x14ac:dyDescent="0.3">
      <c r="A38" s="26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4"/>
    </row>
    <row r="39" spans="1:43" ht="22.2" x14ac:dyDescent="0.3">
      <c r="A39" s="27"/>
      <c r="B39" s="12" t="s">
        <v>34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45"/>
      <c r="AQ39" s="46"/>
    </row>
    <row r="40" spans="1:43" x14ac:dyDescent="0.3">
      <c r="A40" s="28"/>
      <c r="B40" s="37" t="s">
        <v>35</v>
      </c>
      <c r="C40" s="37" t="s">
        <v>36</v>
      </c>
      <c r="D40" s="38" t="s">
        <v>37</v>
      </c>
      <c r="E40" s="37" t="s">
        <v>35</v>
      </c>
      <c r="F40" s="37" t="s">
        <v>36</v>
      </c>
      <c r="G40" s="38" t="s">
        <v>37</v>
      </c>
      <c r="H40" s="37" t="s">
        <v>35</v>
      </c>
      <c r="I40" s="37" t="s">
        <v>36</v>
      </c>
      <c r="J40" s="38" t="s">
        <v>37</v>
      </c>
      <c r="K40" s="37" t="s">
        <v>35</v>
      </c>
      <c r="L40" s="37" t="s">
        <v>36</v>
      </c>
      <c r="M40" s="38" t="s">
        <v>37</v>
      </c>
      <c r="N40" s="37" t="s">
        <v>35</v>
      </c>
      <c r="O40" s="37" t="s">
        <v>36</v>
      </c>
      <c r="P40" s="38" t="s">
        <v>37</v>
      </c>
      <c r="Q40" s="37" t="s">
        <v>35</v>
      </c>
      <c r="R40" s="37" t="s">
        <v>36</v>
      </c>
      <c r="S40" s="38" t="s">
        <v>37</v>
      </c>
      <c r="T40" s="37" t="s">
        <v>35</v>
      </c>
      <c r="U40" s="37" t="s">
        <v>36</v>
      </c>
      <c r="V40" s="38" t="s">
        <v>37</v>
      </c>
      <c r="W40" s="37" t="s">
        <v>35</v>
      </c>
      <c r="X40" s="37" t="s">
        <v>36</v>
      </c>
      <c r="Y40" s="38" t="s">
        <v>37</v>
      </c>
      <c r="Z40" s="37" t="s">
        <v>35</v>
      </c>
      <c r="AA40" s="37" t="s">
        <v>36</v>
      </c>
      <c r="AB40" s="41" t="s">
        <v>37</v>
      </c>
      <c r="AC40" s="37" t="s">
        <v>35</v>
      </c>
      <c r="AD40" s="37" t="s">
        <v>36</v>
      </c>
      <c r="AE40" s="41" t="s">
        <v>37</v>
      </c>
      <c r="AF40" s="37" t="s">
        <v>35</v>
      </c>
      <c r="AG40" s="37" t="s">
        <v>36</v>
      </c>
      <c r="AH40" s="41" t="s">
        <v>37</v>
      </c>
      <c r="AI40" s="37" t="s">
        <v>35</v>
      </c>
      <c r="AJ40" s="37" t="s">
        <v>36</v>
      </c>
      <c r="AK40" s="38" t="s">
        <v>37</v>
      </c>
      <c r="AL40" s="37" t="s">
        <v>35</v>
      </c>
      <c r="AM40" s="37" t="s">
        <v>36</v>
      </c>
      <c r="AN40" s="38" t="s">
        <v>37</v>
      </c>
      <c r="AO40" s="37" t="s">
        <v>35</v>
      </c>
      <c r="AP40" s="39" t="s">
        <v>36</v>
      </c>
      <c r="AQ40" s="40" t="s">
        <v>37</v>
      </c>
    </row>
    <row r="41" spans="1:43" ht="82.8" x14ac:dyDescent="0.3">
      <c r="A41" s="27"/>
      <c r="B41" s="15" t="s">
        <v>6</v>
      </c>
      <c r="C41" s="15" t="s">
        <v>6</v>
      </c>
      <c r="D41" s="31" t="s">
        <v>6</v>
      </c>
      <c r="E41" s="15" t="s">
        <v>7</v>
      </c>
      <c r="F41" s="15" t="s">
        <v>7</v>
      </c>
      <c r="G41" s="31" t="s">
        <v>7</v>
      </c>
      <c r="H41" s="16" t="s">
        <v>8</v>
      </c>
      <c r="I41" s="16" t="s">
        <v>8</v>
      </c>
      <c r="J41" s="34" t="s">
        <v>8</v>
      </c>
      <c r="K41" s="16" t="s">
        <v>9</v>
      </c>
      <c r="L41" s="16" t="s">
        <v>9</v>
      </c>
      <c r="M41" s="34" t="s">
        <v>9</v>
      </c>
      <c r="N41" s="16" t="s">
        <v>10</v>
      </c>
      <c r="O41" s="16" t="s">
        <v>10</v>
      </c>
      <c r="P41" s="16" t="s">
        <v>10</v>
      </c>
      <c r="Q41" s="44" t="s">
        <v>11</v>
      </c>
      <c r="R41" s="16" t="s">
        <v>11</v>
      </c>
      <c r="S41" s="34" t="s">
        <v>11</v>
      </c>
      <c r="T41" s="16" t="s">
        <v>12</v>
      </c>
      <c r="U41" s="16" t="s">
        <v>12</v>
      </c>
      <c r="V41" s="34" t="s">
        <v>12</v>
      </c>
      <c r="W41" s="16" t="s">
        <v>13</v>
      </c>
      <c r="X41" s="16" t="s">
        <v>13</v>
      </c>
      <c r="Y41" s="34" t="s">
        <v>13</v>
      </c>
      <c r="Z41" s="16" t="s">
        <v>14</v>
      </c>
      <c r="AA41" s="16" t="s">
        <v>14</v>
      </c>
      <c r="AB41" s="34" t="s">
        <v>14</v>
      </c>
      <c r="AC41" s="16" t="s">
        <v>15</v>
      </c>
      <c r="AD41" s="16" t="s">
        <v>15</v>
      </c>
      <c r="AE41" s="16" t="s">
        <v>15</v>
      </c>
      <c r="AF41" s="44" t="s">
        <v>16</v>
      </c>
      <c r="AG41" s="16" t="s">
        <v>16</v>
      </c>
      <c r="AH41" s="34" t="s">
        <v>16</v>
      </c>
      <c r="AI41" s="16" t="s">
        <v>17</v>
      </c>
      <c r="AJ41" s="16" t="s">
        <v>17</v>
      </c>
      <c r="AK41" s="34" t="s">
        <v>17</v>
      </c>
      <c r="AL41" s="16" t="s">
        <v>18</v>
      </c>
      <c r="AM41" s="16" t="s">
        <v>18</v>
      </c>
      <c r="AN41" s="34" t="s">
        <v>18</v>
      </c>
      <c r="AO41" s="16" t="s">
        <v>19</v>
      </c>
      <c r="AP41" s="16" t="s">
        <v>19</v>
      </c>
      <c r="AQ41" s="17" t="s">
        <v>19</v>
      </c>
    </row>
    <row r="42" spans="1:43" x14ac:dyDescent="0.3">
      <c r="A42" s="29" t="s">
        <v>20</v>
      </c>
      <c r="B42" s="18">
        <v>120000</v>
      </c>
      <c r="C42" s="18">
        <v>135000</v>
      </c>
      <c r="D42" s="32">
        <v>150000</v>
      </c>
      <c r="E42" s="18">
        <v>150000</v>
      </c>
      <c r="F42" s="18">
        <v>160000</v>
      </c>
      <c r="G42" s="32">
        <v>140000</v>
      </c>
      <c r="H42" s="18">
        <v>125000</v>
      </c>
      <c r="I42" s="32">
        <v>160000</v>
      </c>
      <c r="J42" s="32">
        <v>135000</v>
      </c>
      <c r="K42" s="19">
        <v>58</v>
      </c>
      <c r="L42" s="19">
        <v>63</v>
      </c>
      <c r="M42" s="35">
        <v>55</v>
      </c>
      <c r="N42" s="19">
        <v>30</v>
      </c>
      <c r="O42" s="19">
        <v>30</v>
      </c>
      <c r="P42" s="35">
        <v>25</v>
      </c>
      <c r="Q42" s="19">
        <v>12</v>
      </c>
      <c r="R42" s="19">
        <v>25</v>
      </c>
      <c r="S42" s="35">
        <v>11</v>
      </c>
      <c r="T42" s="19">
        <v>11</v>
      </c>
      <c r="U42" s="19">
        <v>21</v>
      </c>
      <c r="V42" s="35">
        <v>14</v>
      </c>
      <c r="W42" s="18">
        <v>5000</v>
      </c>
      <c r="X42" s="18">
        <v>4500</v>
      </c>
      <c r="Y42" s="32">
        <v>5000</v>
      </c>
      <c r="Z42" s="18">
        <v>416.66666666666669</v>
      </c>
      <c r="AA42" s="18">
        <v>180</v>
      </c>
      <c r="AB42" s="32">
        <v>454.54545454545456</v>
      </c>
      <c r="AC42" s="18">
        <v>400</v>
      </c>
      <c r="AD42" s="18">
        <v>350</v>
      </c>
      <c r="AE42" s="32">
        <v>350</v>
      </c>
      <c r="AF42" s="18">
        <v>400</v>
      </c>
      <c r="AG42" s="18">
        <v>385</v>
      </c>
      <c r="AH42" s="32">
        <v>390</v>
      </c>
      <c r="AI42" s="18">
        <v>2068.9655172413795</v>
      </c>
      <c r="AJ42" s="18">
        <v>2142.8571428571427</v>
      </c>
      <c r="AK42" s="32">
        <v>2727.2727272727275</v>
      </c>
      <c r="AL42" s="18">
        <v>2100</v>
      </c>
      <c r="AM42" s="18">
        <v>2000</v>
      </c>
      <c r="AN42" s="32">
        <v>2600</v>
      </c>
      <c r="AO42" s="18">
        <v>2700</v>
      </c>
      <c r="AP42" s="18">
        <v>2500</v>
      </c>
      <c r="AQ42" s="20">
        <v>2600</v>
      </c>
    </row>
    <row r="43" spans="1:43" x14ac:dyDescent="0.3">
      <c r="A43" s="29" t="s">
        <v>21</v>
      </c>
      <c r="B43" s="18">
        <v>175000</v>
      </c>
      <c r="C43" s="18">
        <v>155000</v>
      </c>
      <c r="D43" s="32">
        <v>190000</v>
      </c>
      <c r="E43" s="18">
        <v>150000</v>
      </c>
      <c r="F43" s="18">
        <v>160000</v>
      </c>
      <c r="G43" s="32">
        <v>140000</v>
      </c>
      <c r="H43" s="18">
        <v>145000</v>
      </c>
      <c r="I43" s="32">
        <v>125000</v>
      </c>
      <c r="J43" s="32">
        <v>125000</v>
      </c>
      <c r="K43" s="19">
        <v>70</v>
      </c>
      <c r="L43" s="19">
        <v>74</v>
      </c>
      <c r="M43" s="35">
        <v>65</v>
      </c>
      <c r="N43" s="19">
        <v>30</v>
      </c>
      <c r="O43" s="19">
        <v>30</v>
      </c>
      <c r="P43" s="35">
        <v>25</v>
      </c>
      <c r="Q43" s="19">
        <v>26</v>
      </c>
      <c r="R43" s="19">
        <v>18</v>
      </c>
      <c r="S43" s="35">
        <v>23</v>
      </c>
      <c r="T43" s="19">
        <v>17</v>
      </c>
      <c r="U43" s="19">
        <v>18</v>
      </c>
      <c r="V43" s="35">
        <v>15</v>
      </c>
      <c r="W43" s="18">
        <v>9800</v>
      </c>
      <c r="X43" s="18">
        <v>9800</v>
      </c>
      <c r="Y43" s="32">
        <v>6500</v>
      </c>
      <c r="Z43" s="18">
        <v>376.92307692307691</v>
      </c>
      <c r="AA43" s="18">
        <v>544.44444444444446</v>
      </c>
      <c r="AB43" s="32">
        <v>282.60869565217394</v>
      </c>
      <c r="AC43" s="18">
        <v>400</v>
      </c>
      <c r="AD43" s="18">
        <v>350</v>
      </c>
      <c r="AE43" s="32">
        <v>350</v>
      </c>
      <c r="AF43" s="18">
        <v>402</v>
      </c>
      <c r="AG43" s="18">
        <v>290</v>
      </c>
      <c r="AH43" s="32">
        <v>380</v>
      </c>
      <c r="AI43" s="18">
        <v>2500</v>
      </c>
      <c r="AJ43" s="18">
        <v>2094.5945945945946</v>
      </c>
      <c r="AK43" s="32">
        <v>2923.0769230769229</v>
      </c>
      <c r="AL43" s="18">
        <v>2200</v>
      </c>
      <c r="AM43" s="18">
        <v>2000</v>
      </c>
      <c r="AN43" s="32">
        <v>2200</v>
      </c>
      <c r="AO43" s="18">
        <v>2700</v>
      </c>
      <c r="AP43" s="18">
        <v>2500</v>
      </c>
      <c r="AQ43" s="20">
        <v>2600</v>
      </c>
    </row>
    <row r="44" spans="1:43" x14ac:dyDescent="0.3">
      <c r="A44" s="29" t="s">
        <v>22</v>
      </c>
      <c r="B44" s="18">
        <v>180000</v>
      </c>
      <c r="C44" s="18">
        <v>145000</v>
      </c>
      <c r="D44" s="32">
        <v>155000</v>
      </c>
      <c r="E44" s="18">
        <v>150000</v>
      </c>
      <c r="F44" s="18">
        <v>160000</v>
      </c>
      <c r="G44" s="32">
        <v>140000</v>
      </c>
      <c r="H44" s="18">
        <v>155000</v>
      </c>
      <c r="I44" s="32">
        <v>130000</v>
      </c>
      <c r="J44" s="32">
        <v>125000</v>
      </c>
      <c r="K44" s="19">
        <v>55</v>
      </c>
      <c r="L44" s="19">
        <v>61</v>
      </c>
      <c r="M44" s="35">
        <v>44</v>
      </c>
      <c r="N44" s="19">
        <v>30</v>
      </c>
      <c r="O44" s="19">
        <v>30</v>
      </c>
      <c r="P44" s="35">
        <v>25</v>
      </c>
      <c r="Q44" s="19">
        <v>31</v>
      </c>
      <c r="R44" s="19">
        <v>25</v>
      </c>
      <c r="S44" s="35">
        <v>20</v>
      </c>
      <c r="T44" s="19">
        <v>25</v>
      </c>
      <c r="U44" s="19">
        <v>21</v>
      </c>
      <c r="V44" s="35">
        <v>22</v>
      </c>
      <c r="W44" s="18">
        <v>9500</v>
      </c>
      <c r="X44" s="18">
        <v>10200</v>
      </c>
      <c r="Y44" s="32">
        <v>8000</v>
      </c>
      <c r="Z44" s="18">
        <v>306.45161290322579</v>
      </c>
      <c r="AA44" s="18">
        <v>408</v>
      </c>
      <c r="AB44" s="32">
        <v>400</v>
      </c>
      <c r="AC44" s="18">
        <v>400</v>
      </c>
      <c r="AD44" s="18">
        <v>350</v>
      </c>
      <c r="AE44" s="32">
        <v>350</v>
      </c>
      <c r="AF44" s="18">
        <v>350</v>
      </c>
      <c r="AG44" s="18">
        <v>385</v>
      </c>
      <c r="AH44" s="32">
        <v>352</v>
      </c>
      <c r="AI44" s="18">
        <v>3272.7272727272725</v>
      </c>
      <c r="AJ44" s="18">
        <v>2377.0491803278687</v>
      </c>
      <c r="AK44" s="32">
        <v>3522.7272727272725</v>
      </c>
      <c r="AL44" s="18">
        <v>3000</v>
      </c>
      <c r="AM44" s="18">
        <v>2200</v>
      </c>
      <c r="AN44" s="32">
        <v>2100</v>
      </c>
      <c r="AO44" s="18">
        <v>2700</v>
      </c>
      <c r="AP44" s="18">
        <v>2500</v>
      </c>
      <c r="AQ44" s="20">
        <v>2600</v>
      </c>
    </row>
    <row r="45" spans="1:43" x14ac:dyDescent="0.3">
      <c r="A45" s="29" t="s">
        <v>23</v>
      </c>
      <c r="B45" s="18">
        <v>160000</v>
      </c>
      <c r="C45" s="18">
        <v>180000</v>
      </c>
      <c r="D45" s="32">
        <v>175000</v>
      </c>
      <c r="E45" s="18">
        <v>150000</v>
      </c>
      <c r="F45" s="18">
        <v>160000</v>
      </c>
      <c r="G45" s="32">
        <v>140000</v>
      </c>
      <c r="H45" s="18">
        <v>145000</v>
      </c>
      <c r="I45" s="32">
        <v>140000</v>
      </c>
      <c r="J45" s="32">
        <v>160000</v>
      </c>
      <c r="K45" s="19">
        <v>68</v>
      </c>
      <c r="L45" s="19">
        <v>63</v>
      </c>
      <c r="M45" s="35">
        <v>50</v>
      </c>
      <c r="N45" s="19">
        <v>30</v>
      </c>
      <c r="O45" s="19">
        <v>30</v>
      </c>
      <c r="P45" s="35">
        <v>25</v>
      </c>
      <c r="Q45" s="19">
        <v>28</v>
      </c>
      <c r="R45" s="19">
        <v>15</v>
      </c>
      <c r="S45" s="35">
        <v>14</v>
      </c>
      <c r="T45" s="19">
        <v>17</v>
      </c>
      <c r="U45" s="19">
        <v>18</v>
      </c>
      <c r="V45" s="35">
        <v>21</v>
      </c>
      <c r="W45" s="18">
        <v>9000</v>
      </c>
      <c r="X45" s="18">
        <v>5600</v>
      </c>
      <c r="Y45" s="32">
        <v>7000</v>
      </c>
      <c r="Z45" s="18">
        <v>321.42857142857144</v>
      </c>
      <c r="AA45" s="18">
        <v>373.33333333333331</v>
      </c>
      <c r="AB45" s="32">
        <v>500</v>
      </c>
      <c r="AC45" s="18">
        <v>400</v>
      </c>
      <c r="AD45" s="18">
        <v>350</v>
      </c>
      <c r="AE45" s="32">
        <v>350</v>
      </c>
      <c r="AF45" s="18">
        <v>350</v>
      </c>
      <c r="AG45" s="18">
        <v>360</v>
      </c>
      <c r="AH45" s="32">
        <v>388</v>
      </c>
      <c r="AI45" s="18">
        <v>2352.9411764705883</v>
      </c>
      <c r="AJ45" s="18">
        <v>2857.1428571428573</v>
      </c>
      <c r="AK45" s="32">
        <v>3500</v>
      </c>
      <c r="AL45" s="18">
        <v>2200</v>
      </c>
      <c r="AM45" s="18">
        <v>2450</v>
      </c>
      <c r="AN45" s="32">
        <v>3300</v>
      </c>
      <c r="AO45" s="18">
        <v>2700</v>
      </c>
      <c r="AP45" s="18">
        <v>2500</v>
      </c>
      <c r="AQ45" s="20">
        <v>2600</v>
      </c>
    </row>
    <row r="46" spans="1:43" x14ac:dyDescent="0.3">
      <c r="A46" s="29" t="s">
        <v>24</v>
      </c>
      <c r="B46" s="18">
        <v>205000</v>
      </c>
      <c r="C46" s="18">
        <v>195000</v>
      </c>
      <c r="D46" s="32">
        <v>125000</v>
      </c>
      <c r="E46" s="18">
        <v>150000</v>
      </c>
      <c r="F46" s="18">
        <v>160000</v>
      </c>
      <c r="G46" s="32">
        <v>140000</v>
      </c>
      <c r="H46" s="18">
        <v>125000</v>
      </c>
      <c r="I46" s="32">
        <v>150000</v>
      </c>
      <c r="J46" s="32">
        <v>145000</v>
      </c>
      <c r="K46" s="19">
        <v>62</v>
      </c>
      <c r="L46" s="19">
        <v>51</v>
      </c>
      <c r="M46" s="35">
        <v>35</v>
      </c>
      <c r="N46" s="19">
        <v>30</v>
      </c>
      <c r="O46" s="19">
        <v>30</v>
      </c>
      <c r="P46" s="35">
        <v>25</v>
      </c>
      <c r="Q46" s="19">
        <v>25</v>
      </c>
      <c r="R46" s="19">
        <v>18</v>
      </c>
      <c r="S46" s="35">
        <v>20</v>
      </c>
      <c r="T46" s="19">
        <v>20</v>
      </c>
      <c r="U46" s="19">
        <v>13</v>
      </c>
      <c r="V46" s="35">
        <v>20</v>
      </c>
      <c r="W46" s="18">
        <v>10800</v>
      </c>
      <c r="X46" s="18">
        <v>9500</v>
      </c>
      <c r="Y46" s="32">
        <v>9000</v>
      </c>
      <c r="Z46" s="18">
        <v>432</v>
      </c>
      <c r="AA46" s="18">
        <v>527.77777777777783</v>
      </c>
      <c r="AB46" s="32">
        <v>450</v>
      </c>
      <c r="AC46" s="18">
        <v>400</v>
      </c>
      <c r="AD46" s="18">
        <v>350</v>
      </c>
      <c r="AE46" s="32">
        <v>350</v>
      </c>
      <c r="AF46" s="18">
        <v>385</v>
      </c>
      <c r="AG46" s="18">
        <v>350</v>
      </c>
      <c r="AH46" s="32">
        <v>406</v>
      </c>
      <c r="AI46" s="18">
        <v>3306.4516129032259</v>
      </c>
      <c r="AJ46" s="18">
        <v>3823.5294117647059</v>
      </c>
      <c r="AK46" s="32">
        <v>3571.4285714285716</v>
      </c>
      <c r="AL46" s="18">
        <v>2900</v>
      </c>
      <c r="AM46" s="18">
        <v>3100</v>
      </c>
      <c r="AN46" s="32">
        <v>3100</v>
      </c>
      <c r="AO46" s="18">
        <v>2700</v>
      </c>
      <c r="AP46" s="18">
        <v>2500</v>
      </c>
      <c r="AQ46" s="20">
        <v>2600</v>
      </c>
    </row>
    <row r="47" spans="1:43" ht="15" thickBot="1" x14ac:dyDescent="0.35">
      <c r="A47" s="30" t="s">
        <v>25</v>
      </c>
      <c r="B47" s="21">
        <v>840000</v>
      </c>
      <c r="C47" s="21">
        <v>810000</v>
      </c>
      <c r="D47" s="33">
        <v>795000</v>
      </c>
      <c r="E47" s="21">
        <v>750000</v>
      </c>
      <c r="F47" s="21">
        <v>800000</v>
      </c>
      <c r="G47" s="33">
        <v>700000</v>
      </c>
      <c r="H47" s="21">
        <v>695000</v>
      </c>
      <c r="I47" s="21">
        <v>705000</v>
      </c>
      <c r="J47" s="33">
        <v>690000</v>
      </c>
      <c r="K47" s="25">
        <v>313</v>
      </c>
      <c r="L47" s="25">
        <v>312</v>
      </c>
      <c r="M47" s="36">
        <v>249</v>
      </c>
      <c r="N47" s="25">
        <v>150</v>
      </c>
      <c r="O47" s="25">
        <v>150</v>
      </c>
      <c r="P47" s="36">
        <v>125</v>
      </c>
      <c r="Q47" s="25">
        <v>122</v>
      </c>
      <c r="R47" s="25">
        <v>101</v>
      </c>
      <c r="S47" s="36">
        <v>88</v>
      </c>
      <c r="T47" s="25">
        <v>90</v>
      </c>
      <c r="U47" s="25">
        <v>91</v>
      </c>
      <c r="V47" s="36">
        <v>92</v>
      </c>
      <c r="W47" s="21">
        <v>44100</v>
      </c>
      <c r="X47" s="21">
        <v>39600</v>
      </c>
      <c r="Y47" s="33">
        <v>35500</v>
      </c>
      <c r="Z47" s="21">
        <v>370.69398558430822</v>
      </c>
      <c r="AA47" s="21">
        <v>406.71111111111111</v>
      </c>
      <c r="AB47" s="33">
        <v>417.43083003952569</v>
      </c>
      <c r="AC47" s="21">
        <v>400</v>
      </c>
      <c r="AD47" s="21">
        <v>350</v>
      </c>
      <c r="AE47" s="33">
        <v>350</v>
      </c>
      <c r="AF47" s="21">
        <v>377.4</v>
      </c>
      <c r="AG47" s="21">
        <v>354</v>
      </c>
      <c r="AH47" s="21">
        <v>383.2</v>
      </c>
      <c r="AI47" s="43">
        <v>2700.2171158684932</v>
      </c>
      <c r="AJ47" s="21">
        <v>2659.0346373374337</v>
      </c>
      <c r="AK47" s="21">
        <v>3248.901098901099</v>
      </c>
      <c r="AL47" s="43">
        <v>2480</v>
      </c>
      <c r="AM47" s="21">
        <v>2350</v>
      </c>
      <c r="AN47" s="33">
        <v>2660</v>
      </c>
      <c r="AO47" s="43">
        <v>2700</v>
      </c>
      <c r="AP47" s="21">
        <v>2500</v>
      </c>
      <c r="AQ47" s="22">
        <v>2600</v>
      </c>
    </row>
    <row r="48" spans="1:43" ht="15" thickBo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x14ac:dyDescent="0.3">
      <c r="A49" s="26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4"/>
    </row>
    <row r="50" spans="1:43" ht="22.2" x14ac:dyDescent="0.3">
      <c r="A50" s="27"/>
      <c r="B50" s="12" t="s">
        <v>38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45"/>
      <c r="AQ50" s="46"/>
    </row>
    <row r="51" spans="1:43" x14ac:dyDescent="0.3">
      <c r="A51" s="28"/>
      <c r="B51" s="37" t="s">
        <v>39</v>
      </c>
      <c r="C51" s="37" t="s">
        <v>40</v>
      </c>
      <c r="D51" s="38" t="s">
        <v>41</v>
      </c>
      <c r="E51" s="37" t="s">
        <v>39</v>
      </c>
      <c r="F51" s="37" t="s">
        <v>40</v>
      </c>
      <c r="G51" s="38" t="s">
        <v>41</v>
      </c>
      <c r="H51" s="37" t="s">
        <v>39</v>
      </c>
      <c r="I51" s="37" t="s">
        <v>40</v>
      </c>
      <c r="J51" s="38" t="s">
        <v>41</v>
      </c>
      <c r="K51" s="37" t="s">
        <v>39</v>
      </c>
      <c r="L51" s="37" t="s">
        <v>40</v>
      </c>
      <c r="M51" s="38" t="s">
        <v>41</v>
      </c>
      <c r="N51" s="37" t="s">
        <v>39</v>
      </c>
      <c r="O51" s="37" t="s">
        <v>40</v>
      </c>
      <c r="P51" s="38" t="s">
        <v>41</v>
      </c>
      <c r="Q51" s="37" t="s">
        <v>39</v>
      </c>
      <c r="R51" s="37" t="s">
        <v>40</v>
      </c>
      <c r="S51" s="38" t="s">
        <v>41</v>
      </c>
      <c r="T51" s="37" t="s">
        <v>39</v>
      </c>
      <c r="U51" s="37" t="s">
        <v>40</v>
      </c>
      <c r="V51" s="41" t="s">
        <v>41</v>
      </c>
      <c r="W51" s="37" t="s">
        <v>39</v>
      </c>
      <c r="X51" s="37" t="s">
        <v>40</v>
      </c>
      <c r="Y51" s="41" t="s">
        <v>41</v>
      </c>
      <c r="Z51" s="37" t="s">
        <v>39</v>
      </c>
      <c r="AA51" s="37" t="s">
        <v>40</v>
      </c>
      <c r="AB51" s="41" t="s">
        <v>41</v>
      </c>
      <c r="AC51" s="37" t="s">
        <v>39</v>
      </c>
      <c r="AD51" s="37" t="s">
        <v>40</v>
      </c>
      <c r="AE51" s="37" t="s">
        <v>41</v>
      </c>
      <c r="AF51" s="42" t="s">
        <v>39</v>
      </c>
      <c r="AG51" s="37" t="s">
        <v>40</v>
      </c>
      <c r="AH51" s="41" t="s">
        <v>41</v>
      </c>
      <c r="AI51" s="37" t="s">
        <v>39</v>
      </c>
      <c r="AJ51" s="37" t="s">
        <v>40</v>
      </c>
      <c r="AK51" s="41" t="s">
        <v>41</v>
      </c>
      <c r="AL51" s="37" t="s">
        <v>39</v>
      </c>
      <c r="AM51" s="37" t="s">
        <v>40</v>
      </c>
      <c r="AN51" s="41" t="s">
        <v>41</v>
      </c>
      <c r="AO51" s="37" t="s">
        <v>39</v>
      </c>
      <c r="AP51" s="39" t="s">
        <v>40</v>
      </c>
      <c r="AQ51" s="40" t="s">
        <v>41</v>
      </c>
    </row>
    <row r="52" spans="1:43" ht="82.8" x14ac:dyDescent="0.3">
      <c r="A52" s="27"/>
      <c r="B52" s="15" t="s">
        <v>6</v>
      </c>
      <c r="C52" s="15" t="s">
        <v>6</v>
      </c>
      <c r="D52" s="31" t="s">
        <v>6</v>
      </c>
      <c r="E52" s="15" t="s">
        <v>7</v>
      </c>
      <c r="F52" s="15" t="s">
        <v>7</v>
      </c>
      <c r="G52" s="31" t="s">
        <v>7</v>
      </c>
      <c r="H52" s="16" t="s">
        <v>8</v>
      </c>
      <c r="I52" s="16" t="s">
        <v>8</v>
      </c>
      <c r="J52" s="34" t="s">
        <v>8</v>
      </c>
      <c r="K52" s="16" t="s">
        <v>9</v>
      </c>
      <c r="L52" s="16" t="s">
        <v>9</v>
      </c>
      <c r="M52" s="34" t="s">
        <v>9</v>
      </c>
      <c r="N52" s="16" t="s">
        <v>10</v>
      </c>
      <c r="O52" s="16" t="s">
        <v>10</v>
      </c>
      <c r="P52" s="34" t="s">
        <v>10</v>
      </c>
      <c r="Q52" s="16" t="s">
        <v>11</v>
      </c>
      <c r="R52" s="16" t="s">
        <v>11</v>
      </c>
      <c r="S52" s="34" t="s">
        <v>11</v>
      </c>
      <c r="T52" s="16" t="s">
        <v>12</v>
      </c>
      <c r="U52" s="16" t="s">
        <v>12</v>
      </c>
      <c r="V52" s="34" t="s">
        <v>12</v>
      </c>
      <c r="W52" s="16" t="s">
        <v>13</v>
      </c>
      <c r="X52" s="16" t="s">
        <v>13</v>
      </c>
      <c r="Y52" s="34" t="s">
        <v>13</v>
      </c>
      <c r="Z52" s="16" t="s">
        <v>14</v>
      </c>
      <c r="AA52" s="16" t="s">
        <v>14</v>
      </c>
      <c r="AB52" s="34" t="s">
        <v>14</v>
      </c>
      <c r="AC52" s="16" t="s">
        <v>15</v>
      </c>
      <c r="AD52" s="16" t="s">
        <v>15</v>
      </c>
      <c r="AE52" s="16" t="s">
        <v>15</v>
      </c>
      <c r="AF52" s="44" t="s">
        <v>16</v>
      </c>
      <c r="AG52" s="16" t="s">
        <v>16</v>
      </c>
      <c r="AH52" s="34" t="s">
        <v>16</v>
      </c>
      <c r="AI52" s="16" t="s">
        <v>17</v>
      </c>
      <c r="AJ52" s="16" t="s">
        <v>17</v>
      </c>
      <c r="AK52" s="34" t="s">
        <v>17</v>
      </c>
      <c r="AL52" s="16" t="s">
        <v>18</v>
      </c>
      <c r="AM52" s="16" t="s">
        <v>18</v>
      </c>
      <c r="AN52" s="34" t="s">
        <v>18</v>
      </c>
      <c r="AO52" s="16" t="s">
        <v>19</v>
      </c>
      <c r="AP52" s="16" t="s">
        <v>19</v>
      </c>
      <c r="AQ52" s="17" t="s">
        <v>19</v>
      </c>
    </row>
    <row r="53" spans="1:43" x14ac:dyDescent="0.3">
      <c r="A53" s="29" t="s">
        <v>20</v>
      </c>
      <c r="B53" s="18">
        <v>160000</v>
      </c>
      <c r="C53" s="18">
        <v>145000</v>
      </c>
      <c r="D53" s="32">
        <v>145000</v>
      </c>
      <c r="E53" s="18">
        <v>160000</v>
      </c>
      <c r="F53" s="18">
        <v>145000</v>
      </c>
      <c r="G53" s="32">
        <v>160000</v>
      </c>
      <c r="H53" s="18">
        <v>160000</v>
      </c>
      <c r="I53" s="18">
        <v>125000</v>
      </c>
      <c r="J53" s="32">
        <v>145000</v>
      </c>
      <c r="K53" s="19">
        <v>55</v>
      </c>
      <c r="L53" s="19">
        <v>55</v>
      </c>
      <c r="M53" s="35">
        <v>60</v>
      </c>
      <c r="N53" s="19">
        <v>20</v>
      </c>
      <c r="O53" s="19">
        <v>25</v>
      </c>
      <c r="P53" s="35">
        <v>35</v>
      </c>
      <c r="Q53" s="19">
        <v>14</v>
      </c>
      <c r="R53" s="19">
        <v>18</v>
      </c>
      <c r="S53" s="35">
        <v>17</v>
      </c>
      <c r="T53" s="19">
        <v>21</v>
      </c>
      <c r="U53" s="19">
        <v>15</v>
      </c>
      <c r="V53" s="35">
        <v>11</v>
      </c>
      <c r="W53" s="18">
        <v>8000</v>
      </c>
      <c r="X53" s="18">
        <v>6000</v>
      </c>
      <c r="Y53" s="32">
        <v>4000</v>
      </c>
      <c r="Z53" s="18">
        <v>571.42857142857144</v>
      </c>
      <c r="AA53" s="18">
        <v>333.33333333333331</v>
      </c>
      <c r="AB53" s="32">
        <v>235.29411764705881</v>
      </c>
      <c r="AC53" s="18">
        <v>350</v>
      </c>
      <c r="AD53" s="18">
        <v>450</v>
      </c>
      <c r="AE53" s="32">
        <v>350</v>
      </c>
      <c r="AF53" s="18">
        <v>400</v>
      </c>
      <c r="AG53" s="18">
        <v>385</v>
      </c>
      <c r="AH53" s="32">
        <v>390</v>
      </c>
      <c r="AI53" s="18">
        <v>2909.090909090909</v>
      </c>
      <c r="AJ53" s="18">
        <v>2636.3636363636365</v>
      </c>
      <c r="AK53" s="32">
        <v>2416.6666666666665</v>
      </c>
      <c r="AL53" s="18">
        <v>2800</v>
      </c>
      <c r="AM53" s="18">
        <v>2500</v>
      </c>
      <c r="AN53" s="32">
        <v>2300</v>
      </c>
      <c r="AO53" s="18">
        <v>2200</v>
      </c>
      <c r="AP53" s="18">
        <v>2300</v>
      </c>
      <c r="AQ53" s="20">
        <v>2500</v>
      </c>
    </row>
    <row r="54" spans="1:43" x14ac:dyDescent="0.3">
      <c r="A54" s="29" t="s">
        <v>21</v>
      </c>
      <c r="B54" s="18">
        <v>185000</v>
      </c>
      <c r="C54" s="18">
        <v>150000</v>
      </c>
      <c r="D54" s="32">
        <v>185000</v>
      </c>
      <c r="E54" s="18">
        <v>160000</v>
      </c>
      <c r="F54" s="18">
        <v>145000</v>
      </c>
      <c r="G54" s="32">
        <v>160000</v>
      </c>
      <c r="H54" s="18">
        <v>125000</v>
      </c>
      <c r="I54" s="18">
        <v>130000</v>
      </c>
      <c r="J54" s="32">
        <v>120000</v>
      </c>
      <c r="K54" s="19">
        <v>56</v>
      </c>
      <c r="L54" s="19">
        <v>45</v>
      </c>
      <c r="M54" s="35">
        <v>65</v>
      </c>
      <c r="N54" s="19">
        <v>20</v>
      </c>
      <c r="O54" s="19">
        <v>25</v>
      </c>
      <c r="P54" s="35">
        <v>35</v>
      </c>
      <c r="Q54" s="19">
        <v>15</v>
      </c>
      <c r="R54" s="19">
        <v>25</v>
      </c>
      <c r="S54" s="35">
        <v>25</v>
      </c>
      <c r="T54" s="19">
        <v>14</v>
      </c>
      <c r="U54" s="19">
        <v>22</v>
      </c>
      <c r="V54" s="35">
        <v>12</v>
      </c>
      <c r="W54" s="18">
        <v>5500</v>
      </c>
      <c r="X54" s="18">
        <v>8500</v>
      </c>
      <c r="Y54" s="32">
        <v>5000</v>
      </c>
      <c r="Z54" s="18">
        <v>366.66666666666669</v>
      </c>
      <c r="AA54" s="18">
        <v>340</v>
      </c>
      <c r="AB54" s="32">
        <v>200</v>
      </c>
      <c r="AC54" s="18">
        <v>350</v>
      </c>
      <c r="AD54" s="18">
        <v>450</v>
      </c>
      <c r="AE54" s="32">
        <v>350</v>
      </c>
      <c r="AF54" s="18">
        <v>380</v>
      </c>
      <c r="AG54" s="18">
        <v>400</v>
      </c>
      <c r="AH54" s="32">
        <v>388</v>
      </c>
      <c r="AI54" s="18">
        <v>3303.5714285714284</v>
      </c>
      <c r="AJ54" s="18">
        <v>3333.3333333333335</v>
      </c>
      <c r="AK54" s="32">
        <v>2846.1538461538462</v>
      </c>
      <c r="AL54" s="18">
        <v>2500</v>
      </c>
      <c r="AM54" s="18">
        <v>3000</v>
      </c>
      <c r="AN54" s="32">
        <v>2000</v>
      </c>
      <c r="AO54" s="18">
        <v>2200</v>
      </c>
      <c r="AP54" s="18">
        <v>2300</v>
      </c>
      <c r="AQ54" s="20">
        <v>2500</v>
      </c>
    </row>
    <row r="55" spans="1:43" x14ac:dyDescent="0.3">
      <c r="A55" s="29" t="s">
        <v>22</v>
      </c>
      <c r="B55" s="18">
        <v>150000</v>
      </c>
      <c r="C55" s="18">
        <v>125000</v>
      </c>
      <c r="D55" s="32">
        <v>120000</v>
      </c>
      <c r="E55" s="18">
        <v>160000</v>
      </c>
      <c r="F55" s="18">
        <v>145000</v>
      </c>
      <c r="G55" s="32">
        <v>160000</v>
      </c>
      <c r="H55" s="18">
        <v>130000</v>
      </c>
      <c r="I55" s="18">
        <v>150000</v>
      </c>
      <c r="J55" s="32">
        <v>125000</v>
      </c>
      <c r="K55" s="19">
        <v>56</v>
      </c>
      <c r="L55" s="19">
        <v>65</v>
      </c>
      <c r="M55" s="35">
        <v>50</v>
      </c>
      <c r="N55" s="19">
        <v>20</v>
      </c>
      <c r="O55" s="19">
        <v>25</v>
      </c>
      <c r="P55" s="35">
        <v>35</v>
      </c>
      <c r="Q55" s="19">
        <v>22</v>
      </c>
      <c r="R55" s="19">
        <v>17</v>
      </c>
      <c r="S55" s="35">
        <v>17</v>
      </c>
      <c r="T55" s="19">
        <v>25</v>
      </c>
      <c r="U55" s="19">
        <v>17</v>
      </c>
      <c r="V55" s="35">
        <v>21</v>
      </c>
      <c r="W55" s="18">
        <v>9000</v>
      </c>
      <c r="X55" s="18">
        <v>6500</v>
      </c>
      <c r="Y55" s="32">
        <v>6500</v>
      </c>
      <c r="Z55" s="18">
        <v>409.09090909090907</v>
      </c>
      <c r="AA55" s="18">
        <v>382.35294117647061</v>
      </c>
      <c r="AB55" s="32">
        <v>382.35294117647061</v>
      </c>
      <c r="AC55" s="18">
        <v>350</v>
      </c>
      <c r="AD55" s="18">
        <v>450</v>
      </c>
      <c r="AE55" s="32">
        <v>350</v>
      </c>
      <c r="AF55" s="18">
        <v>365</v>
      </c>
      <c r="AG55" s="18">
        <v>350</v>
      </c>
      <c r="AH55" s="32">
        <v>352</v>
      </c>
      <c r="AI55" s="18">
        <v>2678.5714285714284</v>
      </c>
      <c r="AJ55" s="18">
        <v>1923.0769230769231</v>
      </c>
      <c r="AK55" s="32">
        <v>2400</v>
      </c>
      <c r="AL55" s="18">
        <v>2600</v>
      </c>
      <c r="AM55" s="18">
        <v>1800</v>
      </c>
      <c r="AN55" s="32">
        <v>2200</v>
      </c>
      <c r="AO55" s="18">
        <v>2200</v>
      </c>
      <c r="AP55" s="18">
        <v>2300</v>
      </c>
      <c r="AQ55" s="20">
        <v>2500</v>
      </c>
    </row>
    <row r="56" spans="1:43" x14ac:dyDescent="0.3">
      <c r="A56" s="29" t="s">
        <v>23</v>
      </c>
      <c r="B56" s="18">
        <v>155000</v>
      </c>
      <c r="C56" s="18">
        <v>155000</v>
      </c>
      <c r="D56" s="32">
        <v>155000</v>
      </c>
      <c r="E56" s="18">
        <v>160000</v>
      </c>
      <c r="F56" s="18">
        <v>145000</v>
      </c>
      <c r="G56" s="32">
        <v>160000</v>
      </c>
      <c r="H56" s="18">
        <v>150000</v>
      </c>
      <c r="I56" s="18">
        <v>155000</v>
      </c>
      <c r="J56" s="32">
        <v>160000</v>
      </c>
      <c r="K56" s="19">
        <v>62</v>
      </c>
      <c r="L56" s="19">
        <v>52</v>
      </c>
      <c r="M56" s="35">
        <v>52</v>
      </c>
      <c r="N56" s="19">
        <v>20</v>
      </c>
      <c r="O56" s="19">
        <v>25</v>
      </c>
      <c r="P56" s="35">
        <v>35</v>
      </c>
      <c r="Q56" s="19">
        <v>21</v>
      </c>
      <c r="R56" s="19">
        <v>24</v>
      </c>
      <c r="S56" s="35">
        <v>22</v>
      </c>
      <c r="T56" s="19">
        <v>17</v>
      </c>
      <c r="U56" s="19">
        <v>16</v>
      </c>
      <c r="V56" s="35">
        <v>23</v>
      </c>
      <c r="W56" s="18">
        <v>6200</v>
      </c>
      <c r="X56" s="18">
        <v>6300</v>
      </c>
      <c r="Y56" s="32">
        <v>9000</v>
      </c>
      <c r="Z56" s="18">
        <v>295.23809523809524</v>
      </c>
      <c r="AA56" s="18">
        <v>262.5</v>
      </c>
      <c r="AB56" s="32">
        <v>409.09090909090907</v>
      </c>
      <c r="AC56" s="18">
        <v>350</v>
      </c>
      <c r="AD56" s="18">
        <v>450</v>
      </c>
      <c r="AE56" s="32">
        <v>350</v>
      </c>
      <c r="AF56" s="18">
        <v>405</v>
      </c>
      <c r="AG56" s="18">
        <v>370</v>
      </c>
      <c r="AH56" s="32">
        <v>350</v>
      </c>
      <c r="AI56" s="18">
        <v>2500</v>
      </c>
      <c r="AJ56" s="18">
        <v>2980.7692307692309</v>
      </c>
      <c r="AK56" s="32">
        <v>2980.7692307692309</v>
      </c>
      <c r="AL56" s="18">
        <v>2400</v>
      </c>
      <c r="AM56" s="18">
        <v>2800</v>
      </c>
      <c r="AN56" s="32">
        <v>2890</v>
      </c>
      <c r="AO56" s="18">
        <v>2200</v>
      </c>
      <c r="AP56" s="18">
        <v>2300</v>
      </c>
      <c r="AQ56" s="20">
        <v>2500</v>
      </c>
    </row>
    <row r="57" spans="1:43" x14ac:dyDescent="0.3">
      <c r="A57" s="29" t="s">
        <v>24</v>
      </c>
      <c r="B57" s="18">
        <v>140000</v>
      </c>
      <c r="C57" s="18">
        <v>170000</v>
      </c>
      <c r="D57" s="32">
        <v>155000</v>
      </c>
      <c r="E57" s="18">
        <v>160000</v>
      </c>
      <c r="F57" s="18">
        <v>145000</v>
      </c>
      <c r="G57" s="32">
        <v>160000</v>
      </c>
      <c r="H57" s="18">
        <v>150000</v>
      </c>
      <c r="I57" s="18">
        <v>180000</v>
      </c>
      <c r="J57" s="32">
        <v>140000</v>
      </c>
      <c r="K57" s="19">
        <v>65</v>
      </c>
      <c r="L57" s="19">
        <v>50</v>
      </c>
      <c r="M57" s="35">
        <v>70</v>
      </c>
      <c r="N57" s="19">
        <v>20</v>
      </c>
      <c r="O57" s="19">
        <v>25</v>
      </c>
      <c r="P57" s="35">
        <v>35</v>
      </c>
      <c r="Q57" s="19">
        <v>30</v>
      </c>
      <c r="R57" s="19">
        <v>16</v>
      </c>
      <c r="S57" s="35">
        <v>18</v>
      </c>
      <c r="T57" s="19">
        <v>25</v>
      </c>
      <c r="U57" s="19">
        <v>21</v>
      </c>
      <c r="V57" s="35">
        <v>20</v>
      </c>
      <c r="W57" s="18">
        <v>9800</v>
      </c>
      <c r="X57" s="18">
        <v>8000</v>
      </c>
      <c r="Y57" s="32">
        <v>7500</v>
      </c>
      <c r="Z57" s="18">
        <v>326.66666666666669</v>
      </c>
      <c r="AA57" s="18">
        <v>500</v>
      </c>
      <c r="AB57" s="32">
        <v>416.66666666666669</v>
      </c>
      <c r="AC57" s="18">
        <v>350</v>
      </c>
      <c r="AD57" s="18">
        <v>450</v>
      </c>
      <c r="AE57" s="32">
        <v>350</v>
      </c>
      <c r="AF57" s="18">
        <v>385</v>
      </c>
      <c r="AG57" s="18">
        <v>350</v>
      </c>
      <c r="AH57" s="32">
        <v>410</v>
      </c>
      <c r="AI57" s="18">
        <v>2153.8461538461538</v>
      </c>
      <c r="AJ57" s="18">
        <v>3400</v>
      </c>
      <c r="AK57" s="32">
        <v>2214.2857142857142</v>
      </c>
      <c r="AL57" s="18">
        <v>1900</v>
      </c>
      <c r="AM57" s="18">
        <v>3000</v>
      </c>
      <c r="AN57" s="32">
        <v>2100</v>
      </c>
      <c r="AO57" s="18">
        <v>2200</v>
      </c>
      <c r="AP57" s="18">
        <v>2300</v>
      </c>
      <c r="AQ57" s="20">
        <v>2500</v>
      </c>
    </row>
    <row r="58" spans="1:43" ht="15" thickBot="1" x14ac:dyDescent="0.35">
      <c r="A58" s="30" t="s">
        <v>25</v>
      </c>
      <c r="B58" s="21">
        <v>790000</v>
      </c>
      <c r="C58" s="21">
        <v>745000</v>
      </c>
      <c r="D58" s="33">
        <v>760000</v>
      </c>
      <c r="E58" s="21">
        <v>800000</v>
      </c>
      <c r="F58" s="21">
        <v>725000</v>
      </c>
      <c r="G58" s="33">
        <v>800000</v>
      </c>
      <c r="H58" s="21">
        <v>715000</v>
      </c>
      <c r="I58" s="21">
        <v>740000</v>
      </c>
      <c r="J58" s="33">
        <v>690000</v>
      </c>
      <c r="K58" s="25">
        <v>294</v>
      </c>
      <c r="L58" s="25">
        <v>267</v>
      </c>
      <c r="M58" s="36">
        <v>297</v>
      </c>
      <c r="N58" s="25">
        <v>100</v>
      </c>
      <c r="O58" s="25">
        <v>125</v>
      </c>
      <c r="P58" s="36">
        <v>175</v>
      </c>
      <c r="Q58" s="25">
        <v>102</v>
      </c>
      <c r="R58" s="25">
        <v>100</v>
      </c>
      <c r="S58" s="36">
        <v>99</v>
      </c>
      <c r="T58" s="25">
        <v>102</v>
      </c>
      <c r="U58" s="25">
        <v>91</v>
      </c>
      <c r="V58" s="36">
        <v>87</v>
      </c>
      <c r="W58" s="21">
        <v>38500</v>
      </c>
      <c r="X58" s="21">
        <v>35300</v>
      </c>
      <c r="Y58" s="33">
        <v>32000</v>
      </c>
      <c r="Z58" s="21">
        <v>393.81818181818181</v>
      </c>
      <c r="AA58" s="21">
        <v>363.63725490196077</v>
      </c>
      <c r="AB58" s="33">
        <v>328.68092691622104</v>
      </c>
      <c r="AC58" s="21">
        <v>350</v>
      </c>
      <c r="AD58" s="21">
        <v>450</v>
      </c>
      <c r="AE58" s="33">
        <v>350</v>
      </c>
      <c r="AF58" s="21">
        <v>387</v>
      </c>
      <c r="AG58" s="21">
        <v>371</v>
      </c>
      <c r="AH58" s="21">
        <v>378</v>
      </c>
      <c r="AI58" s="43">
        <v>2709.015984015984</v>
      </c>
      <c r="AJ58" s="21">
        <v>2854.7086247086249</v>
      </c>
      <c r="AK58" s="21">
        <v>2571.5750915750914</v>
      </c>
      <c r="AL58" s="43">
        <v>2440</v>
      </c>
      <c r="AM58" s="21">
        <v>2620</v>
      </c>
      <c r="AN58" s="33">
        <v>2298</v>
      </c>
      <c r="AO58" s="43">
        <v>2200</v>
      </c>
      <c r="AP58" s="21">
        <v>2300</v>
      </c>
      <c r="AQ58" s="22">
        <v>2500</v>
      </c>
    </row>
    <row r="59" spans="1:43" ht="15" thickBo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x14ac:dyDescent="0.3">
      <c r="A60" s="26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4"/>
    </row>
    <row r="61" spans="1:43" ht="22.2" x14ac:dyDescent="0.3">
      <c r="A61" s="27"/>
      <c r="B61" s="12" t="s">
        <v>1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45"/>
      <c r="AQ61" s="46"/>
    </row>
    <row r="62" spans="1:43" x14ac:dyDescent="0.3">
      <c r="A62" s="28"/>
      <c r="B62" s="37" t="s">
        <v>3</v>
      </c>
      <c r="C62" s="37" t="s">
        <v>4</v>
      </c>
      <c r="D62" s="38" t="s">
        <v>5</v>
      </c>
      <c r="E62" s="37" t="s">
        <v>3</v>
      </c>
      <c r="F62" s="37" t="s">
        <v>4</v>
      </c>
      <c r="G62" s="38" t="s">
        <v>5</v>
      </c>
      <c r="H62" s="37" t="s">
        <v>3</v>
      </c>
      <c r="I62" s="37" t="s">
        <v>4</v>
      </c>
      <c r="J62" s="38" t="s">
        <v>5</v>
      </c>
      <c r="K62" s="37" t="s">
        <v>3</v>
      </c>
      <c r="L62" s="37" t="s">
        <v>4</v>
      </c>
      <c r="M62" s="38" t="s">
        <v>5</v>
      </c>
      <c r="N62" s="37" t="s">
        <v>3</v>
      </c>
      <c r="O62" s="37" t="s">
        <v>4</v>
      </c>
      <c r="P62" s="38" t="s">
        <v>5</v>
      </c>
      <c r="Q62" s="37" t="s">
        <v>3</v>
      </c>
      <c r="R62" s="37" t="s">
        <v>4</v>
      </c>
      <c r="S62" s="38" t="s">
        <v>5</v>
      </c>
      <c r="T62" s="37" t="s">
        <v>3</v>
      </c>
      <c r="U62" s="37" t="s">
        <v>4</v>
      </c>
      <c r="V62" s="41" t="s">
        <v>5</v>
      </c>
      <c r="W62" s="37" t="s">
        <v>3</v>
      </c>
      <c r="X62" s="37" t="s">
        <v>4</v>
      </c>
      <c r="Y62" s="41" t="s">
        <v>5</v>
      </c>
      <c r="Z62" s="37" t="s">
        <v>3</v>
      </c>
      <c r="AA62" s="37" t="s">
        <v>4</v>
      </c>
      <c r="AB62" s="37" t="s">
        <v>5</v>
      </c>
      <c r="AC62" s="42" t="s">
        <v>3</v>
      </c>
      <c r="AD62" s="37" t="s">
        <v>4</v>
      </c>
      <c r="AE62" s="37" t="s">
        <v>5</v>
      </c>
      <c r="AF62" s="42" t="s">
        <v>3</v>
      </c>
      <c r="AG62" s="37" t="s">
        <v>4</v>
      </c>
      <c r="AH62" s="41" t="s">
        <v>5</v>
      </c>
      <c r="AI62" s="37" t="s">
        <v>3</v>
      </c>
      <c r="AJ62" s="37" t="s">
        <v>4</v>
      </c>
      <c r="AK62" s="41" t="s">
        <v>5</v>
      </c>
      <c r="AL62" s="37" t="s">
        <v>3</v>
      </c>
      <c r="AM62" s="37" t="s">
        <v>4</v>
      </c>
      <c r="AN62" s="41" t="s">
        <v>5</v>
      </c>
      <c r="AO62" s="37" t="s">
        <v>3</v>
      </c>
      <c r="AP62" s="39" t="s">
        <v>4</v>
      </c>
      <c r="AQ62" s="40" t="s">
        <v>5</v>
      </c>
    </row>
    <row r="63" spans="1:43" ht="82.8" x14ac:dyDescent="0.3">
      <c r="A63" s="27"/>
      <c r="B63" s="15" t="s">
        <v>6</v>
      </c>
      <c r="C63" s="15" t="s">
        <v>6</v>
      </c>
      <c r="D63" s="31" t="s">
        <v>6</v>
      </c>
      <c r="E63" s="15" t="s">
        <v>7</v>
      </c>
      <c r="F63" s="15" t="s">
        <v>7</v>
      </c>
      <c r="G63" s="31" t="s">
        <v>7</v>
      </c>
      <c r="H63" s="16" t="s">
        <v>8</v>
      </c>
      <c r="I63" s="16" t="s">
        <v>8</v>
      </c>
      <c r="J63" s="34" t="s">
        <v>8</v>
      </c>
      <c r="K63" s="16" t="s">
        <v>9</v>
      </c>
      <c r="L63" s="16" t="s">
        <v>9</v>
      </c>
      <c r="M63" s="34" t="s">
        <v>9</v>
      </c>
      <c r="N63" s="16" t="s">
        <v>10</v>
      </c>
      <c r="O63" s="16" t="s">
        <v>10</v>
      </c>
      <c r="P63" s="16" t="s">
        <v>10</v>
      </c>
      <c r="Q63" s="44" t="s">
        <v>11</v>
      </c>
      <c r="R63" s="16" t="s">
        <v>11</v>
      </c>
      <c r="S63" s="34" t="s">
        <v>11</v>
      </c>
      <c r="T63" s="16" t="s">
        <v>12</v>
      </c>
      <c r="U63" s="16" t="s">
        <v>12</v>
      </c>
      <c r="V63" s="34" t="s">
        <v>12</v>
      </c>
      <c r="W63" s="16" t="s">
        <v>13</v>
      </c>
      <c r="X63" s="16" t="s">
        <v>13</v>
      </c>
      <c r="Y63" s="34" t="s">
        <v>13</v>
      </c>
      <c r="Z63" s="16" t="s">
        <v>14</v>
      </c>
      <c r="AA63" s="16" t="s">
        <v>14</v>
      </c>
      <c r="AB63" s="34" t="s">
        <v>14</v>
      </c>
      <c r="AC63" s="16" t="s">
        <v>15</v>
      </c>
      <c r="AD63" s="16" t="s">
        <v>15</v>
      </c>
      <c r="AE63" s="34" t="s">
        <v>15</v>
      </c>
      <c r="AF63" s="16" t="s">
        <v>16</v>
      </c>
      <c r="AG63" s="16" t="s">
        <v>16</v>
      </c>
      <c r="AH63" s="34" t="s">
        <v>16</v>
      </c>
      <c r="AI63" s="16" t="s">
        <v>17</v>
      </c>
      <c r="AJ63" s="16" t="s">
        <v>17</v>
      </c>
      <c r="AK63" s="34" t="s">
        <v>17</v>
      </c>
      <c r="AL63" s="16" t="s">
        <v>18</v>
      </c>
      <c r="AM63" s="16" t="s">
        <v>18</v>
      </c>
      <c r="AN63" s="34" t="s">
        <v>18</v>
      </c>
      <c r="AO63" s="16" t="s">
        <v>19</v>
      </c>
      <c r="AP63" s="16" t="s">
        <v>19</v>
      </c>
      <c r="AQ63" s="17" t="s">
        <v>19</v>
      </c>
    </row>
    <row r="64" spans="1:43" x14ac:dyDescent="0.3">
      <c r="A64" s="29" t="s">
        <v>20</v>
      </c>
      <c r="B64" s="18">
        <v>140000</v>
      </c>
      <c r="C64" s="18">
        <v>150000</v>
      </c>
      <c r="D64" s="32">
        <v>150000</v>
      </c>
      <c r="E64" s="18">
        <v>165000</v>
      </c>
      <c r="F64" s="18">
        <v>155000</v>
      </c>
      <c r="G64" s="32">
        <v>145000</v>
      </c>
      <c r="H64" s="18">
        <v>155000</v>
      </c>
      <c r="I64" s="18">
        <v>125000</v>
      </c>
      <c r="J64" s="32">
        <v>145000</v>
      </c>
      <c r="K64" s="19">
        <v>75</v>
      </c>
      <c r="L64" s="19">
        <v>76</v>
      </c>
      <c r="M64" s="35">
        <v>80</v>
      </c>
      <c r="N64" s="19">
        <v>20</v>
      </c>
      <c r="O64" s="19">
        <v>20</v>
      </c>
      <c r="P64" s="35">
        <v>20</v>
      </c>
      <c r="Q64" s="19">
        <v>15</v>
      </c>
      <c r="R64" s="19">
        <v>22</v>
      </c>
      <c r="S64" s="35">
        <v>25</v>
      </c>
      <c r="T64" s="19">
        <v>21</v>
      </c>
      <c r="U64" s="19">
        <v>17</v>
      </c>
      <c r="V64" s="35">
        <v>16</v>
      </c>
      <c r="W64" s="18">
        <v>4700</v>
      </c>
      <c r="X64" s="18">
        <v>7000</v>
      </c>
      <c r="Y64" s="32">
        <v>6000</v>
      </c>
      <c r="Z64" s="18">
        <v>313.33333333333331</v>
      </c>
      <c r="AA64" s="18">
        <v>318.18181818181819</v>
      </c>
      <c r="AB64" s="32">
        <v>240</v>
      </c>
      <c r="AC64" s="18">
        <v>350</v>
      </c>
      <c r="AD64" s="18">
        <v>350</v>
      </c>
      <c r="AE64" s="32">
        <v>300</v>
      </c>
      <c r="AF64" s="18">
        <v>410</v>
      </c>
      <c r="AG64" s="18">
        <v>385</v>
      </c>
      <c r="AH64" s="32">
        <v>390</v>
      </c>
      <c r="AI64" s="18">
        <v>1866.6666666666667</v>
      </c>
      <c r="AJ64" s="18">
        <v>1973.6842105263158</v>
      </c>
      <c r="AK64" s="32">
        <v>1875</v>
      </c>
      <c r="AL64" s="18">
        <v>2500</v>
      </c>
      <c r="AM64" s="18">
        <v>2700</v>
      </c>
      <c r="AN64" s="32">
        <v>2400</v>
      </c>
      <c r="AO64" s="18">
        <v>2450</v>
      </c>
      <c r="AP64" s="18">
        <v>2700</v>
      </c>
      <c r="AQ64" s="20">
        <v>2350</v>
      </c>
    </row>
    <row r="65" spans="1:43" x14ac:dyDescent="0.3">
      <c r="A65" s="29" t="s">
        <v>21</v>
      </c>
      <c r="B65" s="18">
        <v>115000</v>
      </c>
      <c r="C65" s="18">
        <v>140000</v>
      </c>
      <c r="D65" s="32">
        <v>170000</v>
      </c>
      <c r="E65" s="18">
        <v>165000</v>
      </c>
      <c r="F65" s="18">
        <v>155000</v>
      </c>
      <c r="G65" s="32">
        <v>145000</v>
      </c>
      <c r="H65" s="18">
        <v>140000</v>
      </c>
      <c r="I65" s="18">
        <v>125000</v>
      </c>
      <c r="J65" s="32">
        <v>130000</v>
      </c>
      <c r="K65" s="19">
        <v>65</v>
      </c>
      <c r="L65" s="19">
        <v>85</v>
      </c>
      <c r="M65" s="35">
        <v>70</v>
      </c>
      <c r="N65" s="19">
        <v>20</v>
      </c>
      <c r="O65" s="19">
        <v>20</v>
      </c>
      <c r="P65" s="35">
        <v>20</v>
      </c>
      <c r="Q65" s="19">
        <v>25</v>
      </c>
      <c r="R65" s="19">
        <v>18</v>
      </c>
      <c r="S65" s="35">
        <v>24</v>
      </c>
      <c r="T65" s="19">
        <v>16</v>
      </c>
      <c r="U65" s="19">
        <v>14</v>
      </c>
      <c r="V65" s="35">
        <v>21</v>
      </c>
      <c r="W65" s="18">
        <v>6000</v>
      </c>
      <c r="X65" s="18">
        <v>5000</v>
      </c>
      <c r="Y65" s="32">
        <v>8500</v>
      </c>
      <c r="Z65" s="18">
        <v>240</v>
      </c>
      <c r="AA65" s="18">
        <v>277.77777777777777</v>
      </c>
      <c r="AB65" s="32">
        <v>354.16666666666669</v>
      </c>
      <c r="AC65" s="18">
        <v>350</v>
      </c>
      <c r="AD65" s="18">
        <v>350</v>
      </c>
      <c r="AE65" s="32">
        <v>300</v>
      </c>
      <c r="AF65" s="18">
        <v>408</v>
      </c>
      <c r="AG65" s="18">
        <v>350</v>
      </c>
      <c r="AH65" s="32">
        <v>370</v>
      </c>
      <c r="AI65" s="18">
        <v>1769.2307692307693</v>
      </c>
      <c r="AJ65" s="18">
        <v>1647.0588235294117</v>
      </c>
      <c r="AK65" s="32">
        <v>2428.5714285714284</v>
      </c>
      <c r="AL65" s="18">
        <v>1800</v>
      </c>
      <c r="AM65" s="18">
        <v>2200</v>
      </c>
      <c r="AN65" s="32">
        <v>2300</v>
      </c>
      <c r="AO65" s="18">
        <v>2450</v>
      </c>
      <c r="AP65" s="18">
        <v>2700</v>
      </c>
      <c r="AQ65" s="20">
        <v>2350</v>
      </c>
    </row>
    <row r="66" spans="1:43" x14ac:dyDescent="0.3">
      <c r="A66" s="29" t="s">
        <v>22</v>
      </c>
      <c r="B66" s="18">
        <v>165000</v>
      </c>
      <c r="C66" s="18">
        <v>140000</v>
      </c>
      <c r="D66" s="32">
        <v>145000</v>
      </c>
      <c r="E66" s="18">
        <v>165000</v>
      </c>
      <c r="F66" s="18">
        <v>155000</v>
      </c>
      <c r="G66" s="32">
        <v>145000</v>
      </c>
      <c r="H66" s="18">
        <v>165000</v>
      </c>
      <c r="I66" s="18">
        <v>150000</v>
      </c>
      <c r="J66" s="32">
        <v>155000</v>
      </c>
      <c r="K66" s="19">
        <v>65</v>
      </c>
      <c r="L66" s="19">
        <v>72</v>
      </c>
      <c r="M66" s="35">
        <v>78</v>
      </c>
      <c r="N66" s="19">
        <v>20</v>
      </c>
      <c r="O66" s="19">
        <v>20</v>
      </c>
      <c r="P66" s="35">
        <v>20</v>
      </c>
      <c r="Q66" s="19">
        <v>25</v>
      </c>
      <c r="R66" s="19">
        <v>17</v>
      </c>
      <c r="S66" s="35">
        <v>14</v>
      </c>
      <c r="T66" s="19">
        <v>15</v>
      </c>
      <c r="U66" s="19">
        <v>21</v>
      </c>
      <c r="V66" s="35">
        <v>20</v>
      </c>
      <c r="W66" s="18">
        <v>4000</v>
      </c>
      <c r="X66" s="18">
        <v>8000</v>
      </c>
      <c r="Y66" s="32">
        <v>8000</v>
      </c>
      <c r="Z66" s="18">
        <v>160</v>
      </c>
      <c r="AA66" s="18">
        <v>470.58823529411762</v>
      </c>
      <c r="AB66" s="32">
        <v>571.42857142857144</v>
      </c>
      <c r="AC66" s="18">
        <v>350</v>
      </c>
      <c r="AD66" s="18">
        <v>350</v>
      </c>
      <c r="AE66" s="32">
        <v>300</v>
      </c>
      <c r="AF66" s="18">
        <v>345</v>
      </c>
      <c r="AG66" s="18">
        <v>405</v>
      </c>
      <c r="AH66" s="32">
        <v>352</v>
      </c>
      <c r="AI66" s="18">
        <v>2538.4615384615386</v>
      </c>
      <c r="AJ66" s="18">
        <v>1944.4444444444443</v>
      </c>
      <c r="AK66" s="32">
        <v>1858.9743589743589</v>
      </c>
      <c r="AL66" s="18">
        <v>2500</v>
      </c>
      <c r="AM66" s="18">
        <v>2500</v>
      </c>
      <c r="AN66" s="32">
        <v>2600</v>
      </c>
      <c r="AO66" s="18">
        <v>2450</v>
      </c>
      <c r="AP66" s="18">
        <v>2700</v>
      </c>
      <c r="AQ66" s="20">
        <v>2350</v>
      </c>
    </row>
    <row r="67" spans="1:43" x14ac:dyDescent="0.3">
      <c r="A67" s="29" t="s">
        <v>23</v>
      </c>
      <c r="B67" s="18">
        <v>125000</v>
      </c>
      <c r="C67" s="18">
        <v>155000</v>
      </c>
      <c r="D67" s="32">
        <v>155000</v>
      </c>
      <c r="E67" s="18">
        <v>165000</v>
      </c>
      <c r="F67" s="18">
        <v>155000</v>
      </c>
      <c r="G67" s="32">
        <v>145000</v>
      </c>
      <c r="H67" s="18">
        <v>150000</v>
      </c>
      <c r="I67" s="18">
        <v>145000</v>
      </c>
      <c r="J67" s="32">
        <v>125000</v>
      </c>
      <c r="K67" s="19">
        <v>65</v>
      </c>
      <c r="L67" s="19">
        <v>70</v>
      </c>
      <c r="M67" s="35">
        <v>85</v>
      </c>
      <c r="N67" s="19">
        <v>20</v>
      </c>
      <c r="O67" s="19">
        <v>20</v>
      </c>
      <c r="P67" s="35">
        <v>20</v>
      </c>
      <c r="Q67" s="19">
        <v>19</v>
      </c>
      <c r="R67" s="19">
        <v>15</v>
      </c>
      <c r="S67" s="35">
        <v>21</v>
      </c>
      <c r="T67" s="19">
        <v>22</v>
      </c>
      <c r="U67" s="19">
        <v>20</v>
      </c>
      <c r="V67" s="35">
        <v>17</v>
      </c>
      <c r="W67" s="18">
        <v>9000</v>
      </c>
      <c r="X67" s="18">
        <v>8500</v>
      </c>
      <c r="Y67" s="32">
        <v>7000</v>
      </c>
      <c r="Z67" s="18">
        <v>473.68421052631578</v>
      </c>
      <c r="AA67" s="18">
        <v>566.66666666666663</v>
      </c>
      <c r="AB67" s="32">
        <v>333.33333333333331</v>
      </c>
      <c r="AC67" s="18">
        <v>350</v>
      </c>
      <c r="AD67" s="18">
        <v>350</v>
      </c>
      <c r="AE67" s="32">
        <v>300</v>
      </c>
      <c r="AF67" s="18">
        <v>350</v>
      </c>
      <c r="AG67" s="18">
        <v>400</v>
      </c>
      <c r="AH67" s="32">
        <v>388</v>
      </c>
      <c r="AI67" s="18">
        <v>1923.0769230769231</v>
      </c>
      <c r="AJ67" s="18">
        <v>2214.2857142857142</v>
      </c>
      <c r="AK67" s="32">
        <v>1823.5294117647059</v>
      </c>
      <c r="AL67" s="18">
        <v>2100</v>
      </c>
      <c r="AM67" s="18">
        <v>2400</v>
      </c>
      <c r="AN67" s="32">
        <v>2400</v>
      </c>
      <c r="AO67" s="18">
        <v>2450</v>
      </c>
      <c r="AP67" s="18">
        <v>2700</v>
      </c>
      <c r="AQ67" s="20">
        <v>2350</v>
      </c>
    </row>
    <row r="68" spans="1:43" x14ac:dyDescent="0.3">
      <c r="A68" s="29" t="s">
        <v>24</v>
      </c>
      <c r="B68" s="18">
        <v>150000</v>
      </c>
      <c r="C68" s="18">
        <v>130000</v>
      </c>
      <c r="D68" s="32">
        <v>150000</v>
      </c>
      <c r="E68" s="18">
        <v>165000</v>
      </c>
      <c r="F68" s="18">
        <v>155000</v>
      </c>
      <c r="G68" s="32">
        <v>145000</v>
      </c>
      <c r="H68" s="18">
        <v>170000</v>
      </c>
      <c r="I68" s="18">
        <v>155000</v>
      </c>
      <c r="J68" s="32">
        <v>130000</v>
      </c>
      <c r="K68" s="19">
        <v>75</v>
      </c>
      <c r="L68" s="19">
        <v>63</v>
      </c>
      <c r="M68" s="35">
        <v>80</v>
      </c>
      <c r="N68" s="19">
        <v>20</v>
      </c>
      <c r="O68" s="19">
        <v>20</v>
      </c>
      <c r="P68" s="35">
        <v>20</v>
      </c>
      <c r="Q68" s="19">
        <v>24</v>
      </c>
      <c r="R68" s="19">
        <v>15</v>
      </c>
      <c r="S68" s="35">
        <v>30</v>
      </c>
      <c r="T68" s="19">
        <v>23</v>
      </c>
      <c r="U68" s="19">
        <v>24</v>
      </c>
      <c r="V68" s="35">
        <v>20</v>
      </c>
      <c r="W68" s="18">
        <v>9500</v>
      </c>
      <c r="X68" s="18">
        <v>9000</v>
      </c>
      <c r="Y68" s="32">
        <v>8000</v>
      </c>
      <c r="Z68" s="18">
        <v>395.83333333333331</v>
      </c>
      <c r="AA68" s="18">
        <v>600</v>
      </c>
      <c r="AB68" s="32">
        <v>266.66666666666669</v>
      </c>
      <c r="AC68" s="18">
        <v>350</v>
      </c>
      <c r="AD68" s="18">
        <v>350</v>
      </c>
      <c r="AE68" s="32">
        <v>300</v>
      </c>
      <c r="AF68" s="18">
        <v>360</v>
      </c>
      <c r="AG68" s="18">
        <v>350</v>
      </c>
      <c r="AH68" s="32">
        <v>425</v>
      </c>
      <c r="AI68" s="18">
        <v>2000</v>
      </c>
      <c r="AJ68" s="18">
        <v>2063.4920634920636</v>
      </c>
      <c r="AK68" s="32">
        <v>1875</v>
      </c>
      <c r="AL68" s="18">
        <v>2100</v>
      </c>
      <c r="AM68" s="18">
        <v>2800</v>
      </c>
      <c r="AN68" s="32">
        <v>3000</v>
      </c>
      <c r="AO68" s="18">
        <v>2450</v>
      </c>
      <c r="AP68" s="18">
        <v>2700</v>
      </c>
      <c r="AQ68" s="20">
        <v>2350</v>
      </c>
    </row>
    <row r="69" spans="1:43" ht="15" thickBot="1" x14ac:dyDescent="0.35">
      <c r="A69" s="30" t="s">
        <v>25</v>
      </c>
      <c r="B69" s="21">
        <v>695000</v>
      </c>
      <c r="C69" s="21">
        <v>715000</v>
      </c>
      <c r="D69" s="33">
        <v>770000</v>
      </c>
      <c r="E69" s="21">
        <v>825000</v>
      </c>
      <c r="F69" s="21">
        <v>775000</v>
      </c>
      <c r="G69" s="33">
        <v>725000</v>
      </c>
      <c r="H69" s="21">
        <v>780000</v>
      </c>
      <c r="I69" s="21">
        <v>700000</v>
      </c>
      <c r="J69" s="33">
        <v>685000</v>
      </c>
      <c r="K69" s="25">
        <v>345</v>
      </c>
      <c r="L69" s="25">
        <v>366</v>
      </c>
      <c r="M69" s="36">
        <v>393</v>
      </c>
      <c r="N69" s="25">
        <v>100</v>
      </c>
      <c r="O69" s="25">
        <v>100</v>
      </c>
      <c r="P69" s="36">
        <v>100</v>
      </c>
      <c r="Q69" s="25">
        <v>108</v>
      </c>
      <c r="R69" s="25">
        <v>87</v>
      </c>
      <c r="S69" s="36">
        <v>114</v>
      </c>
      <c r="T69" s="25">
        <v>97</v>
      </c>
      <c r="U69" s="25">
        <v>96</v>
      </c>
      <c r="V69" s="36">
        <v>94</v>
      </c>
      <c r="W69" s="21">
        <v>33200</v>
      </c>
      <c r="X69" s="21">
        <v>37500</v>
      </c>
      <c r="Y69" s="33">
        <v>37500</v>
      </c>
      <c r="Z69" s="21">
        <v>316.57017543859649</v>
      </c>
      <c r="AA69" s="21">
        <v>446.64289958407608</v>
      </c>
      <c r="AB69" s="21">
        <v>353.11904761904759</v>
      </c>
      <c r="AC69" s="43">
        <v>350</v>
      </c>
      <c r="AD69" s="21">
        <v>350</v>
      </c>
      <c r="AE69" s="33">
        <v>300</v>
      </c>
      <c r="AF69" s="43">
        <v>374.6</v>
      </c>
      <c r="AG69" s="21">
        <v>378</v>
      </c>
      <c r="AH69" s="21">
        <v>385</v>
      </c>
      <c r="AI69" s="43">
        <v>2019.4871794871797</v>
      </c>
      <c r="AJ69" s="21">
        <v>1968.5930512555901</v>
      </c>
      <c r="AK69" s="21">
        <v>1972.2150398620986</v>
      </c>
      <c r="AL69" s="43">
        <v>2200</v>
      </c>
      <c r="AM69" s="21">
        <v>2520</v>
      </c>
      <c r="AN69" s="33">
        <v>2540</v>
      </c>
      <c r="AO69" s="43">
        <v>2450</v>
      </c>
      <c r="AP69" s="21">
        <v>2700</v>
      </c>
      <c r="AQ69" s="22">
        <v>2350</v>
      </c>
    </row>
  </sheetData>
  <mergeCells count="5">
    <mergeCell ref="B50:AQ50"/>
    <mergeCell ref="B61:AQ61"/>
    <mergeCell ref="B28:AQ28"/>
    <mergeCell ref="B39:AQ39"/>
    <mergeCell ref="B9:A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0"/>
  <sheetViews>
    <sheetView tabSelected="1" zoomScale="78" zoomScaleNormal="100" workbookViewId="0">
      <selection activeCell="J44" sqref="J44"/>
    </sheetView>
  </sheetViews>
  <sheetFormatPr defaultRowHeight="14.4" x14ac:dyDescent="0.3"/>
  <cols>
    <col min="1" max="1" width="12.6640625" customWidth="1"/>
    <col min="2" max="2" width="12.5546875" customWidth="1"/>
    <col min="4" max="4" width="13.33203125" customWidth="1"/>
    <col min="11" max="11" width="8.109375" customWidth="1"/>
    <col min="12" max="12" width="10" customWidth="1"/>
  </cols>
  <sheetData>
    <row r="2" spans="1:20" x14ac:dyDescent="0.3">
      <c r="A2" s="52" t="s">
        <v>43</v>
      </c>
      <c r="B2" s="51"/>
      <c r="C2" s="51"/>
      <c r="D2" s="51"/>
      <c r="E2" s="50" t="s">
        <v>46</v>
      </c>
      <c r="F2" s="50"/>
      <c r="G2" s="50"/>
      <c r="H2" s="50"/>
      <c r="I2" s="51"/>
      <c r="K2" s="62" t="s">
        <v>50</v>
      </c>
      <c r="L2" s="62"/>
      <c r="M2" s="62"/>
      <c r="N2" s="51"/>
      <c r="O2" s="62" t="s">
        <v>53</v>
      </c>
      <c r="P2" s="50"/>
      <c r="Q2" s="50"/>
      <c r="R2" s="50"/>
      <c r="S2" s="50"/>
      <c r="T2" s="68"/>
    </row>
    <row r="3" spans="1:20" x14ac:dyDescent="0.3">
      <c r="A3" s="51"/>
      <c r="B3" s="51"/>
      <c r="C3" s="51"/>
      <c r="D3" s="51"/>
      <c r="E3" s="51"/>
      <c r="F3" s="51"/>
      <c r="G3" s="51"/>
      <c r="H3" s="51"/>
      <c r="I3" s="51"/>
      <c r="K3" s="51"/>
      <c r="L3" s="51"/>
      <c r="M3" s="51"/>
      <c r="N3" s="51"/>
      <c r="O3" s="51"/>
      <c r="P3" s="51"/>
      <c r="Q3" s="51"/>
      <c r="R3" s="51"/>
      <c r="S3" s="51"/>
    </row>
    <row r="4" spans="1:20" ht="21" x14ac:dyDescent="0.4">
      <c r="A4" s="54">
        <f>SUM(DATA!B17:D17)</f>
        <v>2180000</v>
      </c>
      <c r="B4" s="54"/>
      <c r="C4" s="56" t="s">
        <v>44</v>
      </c>
      <c r="D4" s="56"/>
      <c r="E4" s="51"/>
      <c r="F4" s="51"/>
      <c r="G4" s="51"/>
      <c r="H4" s="51"/>
      <c r="I4" s="51"/>
      <c r="K4" s="51"/>
      <c r="L4" s="96">
        <f>SUM(DATA!Q17:S17)</f>
        <v>309</v>
      </c>
      <c r="M4" s="63" t="s">
        <v>51</v>
      </c>
      <c r="N4" s="63"/>
      <c r="O4" s="51"/>
      <c r="P4" s="51"/>
      <c r="Q4" s="51"/>
      <c r="R4" s="51"/>
      <c r="S4" s="51"/>
    </row>
    <row r="5" spans="1:20" x14ac:dyDescent="0.3">
      <c r="A5" s="51"/>
      <c r="B5" s="51"/>
      <c r="C5" s="57"/>
      <c r="D5" s="57"/>
      <c r="E5" s="51"/>
      <c r="F5" s="51"/>
      <c r="G5" s="51"/>
      <c r="H5" s="51"/>
      <c r="I5" s="51"/>
      <c r="K5" s="51"/>
      <c r="L5" s="51"/>
      <c r="M5" s="51"/>
      <c r="N5" s="51"/>
      <c r="O5" s="51"/>
      <c r="P5" s="51"/>
      <c r="Q5" s="51"/>
      <c r="R5" s="51"/>
      <c r="S5" s="51"/>
    </row>
    <row r="6" spans="1:20" ht="21" x14ac:dyDescent="0.4">
      <c r="A6" s="54">
        <f>SUM(DATA!E17:G17)</f>
        <v>2325000</v>
      </c>
      <c r="B6" s="54"/>
      <c r="C6" s="62" t="s">
        <v>7</v>
      </c>
      <c r="D6" s="62"/>
      <c r="E6" s="51"/>
      <c r="F6" s="51"/>
      <c r="G6" s="51"/>
      <c r="H6" s="51"/>
      <c r="I6" s="51"/>
      <c r="K6" s="51"/>
      <c r="L6" s="51"/>
      <c r="M6" s="51"/>
      <c r="N6" s="51"/>
      <c r="O6" s="51"/>
      <c r="P6" s="51"/>
      <c r="Q6" s="51"/>
      <c r="R6" s="51"/>
      <c r="S6" s="51"/>
    </row>
    <row r="7" spans="1:20" ht="21" x14ac:dyDescent="0.4">
      <c r="A7" s="50"/>
      <c r="B7" s="50"/>
      <c r="C7" s="50"/>
      <c r="D7" s="50"/>
      <c r="E7" s="51"/>
      <c r="F7" s="51"/>
      <c r="G7" s="51"/>
      <c r="H7" s="51"/>
      <c r="I7" s="51"/>
      <c r="K7" s="51"/>
      <c r="L7" s="96">
        <f>SUM(DATA!N17:P17)</f>
        <v>300</v>
      </c>
      <c r="M7" s="63" t="s">
        <v>52</v>
      </c>
      <c r="N7" s="63"/>
      <c r="O7" s="51"/>
      <c r="P7" s="51"/>
      <c r="Q7" s="51"/>
      <c r="R7" s="51"/>
      <c r="S7" s="51"/>
    </row>
    <row r="8" spans="1:20" x14ac:dyDescent="0.3">
      <c r="A8" s="51"/>
      <c r="B8" s="51"/>
      <c r="C8" s="51"/>
      <c r="D8" s="51"/>
      <c r="E8" s="51"/>
      <c r="F8" s="51"/>
      <c r="G8" s="51"/>
      <c r="H8" s="51"/>
      <c r="I8" s="51"/>
      <c r="K8" s="51"/>
      <c r="L8" s="51"/>
      <c r="M8" s="51"/>
      <c r="N8" s="51"/>
      <c r="O8" s="51"/>
      <c r="P8" s="51"/>
      <c r="Q8" s="51"/>
      <c r="R8" s="51"/>
      <c r="S8" s="51"/>
    </row>
    <row r="9" spans="1:20" ht="18" x14ac:dyDescent="0.35">
      <c r="A9" s="60"/>
      <c r="B9" s="61">
        <f>A4/A6</f>
        <v>0.93763440860215053</v>
      </c>
      <c r="C9" s="62" t="s">
        <v>45</v>
      </c>
      <c r="D9" s="62"/>
      <c r="E9" s="51"/>
      <c r="F9" s="51"/>
      <c r="G9" s="51"/>
      <c r="H9" s="51"/>
      <c r="I9" s="51"/>
      <c r="K9" s="51"/>
      <c r="L9" s="51"/>
      <c r="M9" s="51"/>
      <c r="N9" s="51"/>
      <c r="O9" s="51"/>
      <c r="P9" s="51"/>
      <c r="Q9" s="51"/>
      <c r="R9" s="51"/>
      <c r="S9" s="51"/>
    </row>
    <row r="10" spans="1:20" ht="20.399999999999999" x14ac:dyDescent="0.35">
      <c r="A10" s="59"/>
      <c r="B10" s="58"/>
      <c r="C10" s="51"/>
      <c r="D10" s="51"/>
      <c r="E10" s="51"/>
      <c r="F10" s="51"/>
      <c r="G10" s="51"/>
      <c r="H10" s="51"/>
      <c r="I10" s="51"/>
      <c r="K10" s="97">
        <f>L4/L7</f>
        <v>1.03</v>
      </c>
      <c r="L10" s="97"/>
      <c r="M10" s="101" t="s">
        <v>45</v>
      </c>
      <c r="N10" s="101"/>
      <c r="O10" s="51"/>
      <c r="P10" s="51"/>
      <c r="Q10" s="51"/>
      <c r="R10" s="51"/>
      <c r="S10" s="51"/>
    </row>
    <row r="11" spans="1:20" x14ac:dyDescent="0.3">
      <c r="A11" s="51"/>
      <c r="B11" s="51"/>
      <c r="C11" s="51"/>
      <c r="D11" s="51"/>
      <c r="E11" s="51"/>
      <c r="F11" s="51"/>
      <c r="G11" s="51"/>
      <c r="H11" s="51"/>
      <c r="I11" s="51"/>
      <c r="K11" s="51"/>
      <c r="L11" s="51"/>
      <c r="M11" s="51"/>
      <c r="N11" s="51"/>
      <c r="O11" s="51"/>
      <c r="P11" s="51"/>
      <c r="Q11" s="51"/>
      <c r="R11" s="51"/>
      <c r="S11" s="51"/>
    </row>
    <row r="12" spans="1:20" x14ac:dyDescent="0.3">
      <c r="A12" s="51"/>
      <c r="B12" s="51"/>
      <c r="C12" s="51"/>
      <c r="D12" s="51"/>
      <c r="E12" s="51"/>
      <c r="F12" s="51"/>
      <c r="G12" s="51"/>
      <c r="H12" s="51"/>
      <c r="I12" s="51"/>
      <c r="K12" s="51"/>
      <c r="L12" s="51"/>
      <c r="M12" s="51"/>
      <c r="N12" s="51"/>
      <c r="O12" s="51"/>
      <c r="P12" s="51"/>
      <c r="Q12" s="51"/>
      <c r="R12" s="51"/>
      <c r="S12" s="51"/>
    </row>
    <row r="13" spans="1:20" x14ac:dyDescent="0.3">
      <c r="A13" s="51"/>
      <c r="B13" s="51"/>
      <c r="C13" s="51"/>
      <c r="D13" s="51"/>
      <c r="E13" s="51"/>
      <c r="F13" s="51"/>
      <c r="G13" s="51"/>
      <c r="H13" s="51"/>
      <c r="I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1:20" x14ac:dyDescent="0.3">
      <c r="A14" s="51"/>
      <c r="B14" s="51"/>
      <c r="C14" s="51"/>
      <c r="D14" s="51"/>
      <c r="E14" s="51"/>
      <c r="F14" s="51"/>
      <c r="G14" s="51"/>
      <c r="H14" s="51"/>
      <c r="I14" s="51"/>
      <c r="K14" s="51"/>
      <c r="L14" s="51"/>
      <c r="M14" s="51"/>
      <c r="N14" s="51"/>
      <c r="O14" s="51"/>
      <c r="P14" s="51"/>
      <c r="Q14" s="51"/>
      <c r="R14" s="51"/>
      <c r="S14" s="51"/>
    </row>
    <row r="15" spans="1:20" x14ac:dyDescent="0.3">
      <c r="A15" s="51"/>
      <c r="B15" s="51"/>
      <c r="C15" s="51"/>
      <c r="D15" s="51"/>
      <c r="E15" s="51"/>
      <c r="F15" s="51"/>
      <c r="G15" s="51"/>
      <c r="H15" s="51"/>
      <c r="I15" s="51"/>
      <c r="K15" s="51"/>
      <c r="L15" s="51"/>
      <c r="M15" s="51"/>
      <c r="N15" s="51"/>
      <c r="O15" s="51"/>
      <c r="P15" s="51"/>
      <c r="Q15" s="51"/>
      <c r="R15" s="51"/>
      <c r="S15" s="51"/>
    </row>
    <row r="18" spans="1:20" ht="15.6" x14ac:dyDescent="0.3">
      <c r="A18" s="53" t="s">
        <v>54</v>
      </c>
      <c r="B18" s="53"/>
      <c r="C18" s="51"/>
      <c r="D18" s="102" t="s">
        <v>60</v>
      </c>
      <c r="E18" s="103"/>
      <c r="F18" s="103"/>
      <c r="G18" s="103"/>
      <c r="H18" s="103"/>
      <c r="I18" s="51"/>
      <c r="K18" s="98" t="s">
        <v>57</v>
      </c>
      <c r="L18" s="98"/>
      <c r="M18" s="98"/>
      <c r="N18" s="98"/>
      <c r="O18" s="51"/>
      <c r="P18" s="102" t="s">
        <v>61</v>
      </c>
      <c r="Q18" s="103"/>
      <c r="R18" s="103"/>
      <c r="S18" s="103"/>
      <c r="T18" s="103"/>
    </row>
    <row r="19" spans="1:20" x14ac:dyDescent="0.3">
      <c r="A19" s="51"/>
      <c r="B19" s="51"/>
      <c r="C19" s="51"/>
      <c r="D19" s="51"/>
      <c r="E19" s="51"/>
      <c r="F19" s="51"/>
      <c r="G19" s="51"/>
      <c r="H19" s="51"/>
      <c r="I19" s="51"/>
      <c r="K19" s="51"/>
      <c r="L19" s="51"/>
      <c r="M19" s="51"/>
      <c r="N19" s="51"/>
      <c r="O19" s="51"/>
      <c r="P19" s="51"/>
      <c r="Q19" s="51"/>
      <c r="R19" s="51"/>
      <c r="S19" s="51"/>
      <c r="T19" s="51"/>
    </row>
    <row r="20" spans="1:20" x14ac:dyDescent="0.3">
      <c r="A20" s="51"/>
      <c r="B20" s="51"/>
      <c r="C20" s="51"/>
      <c r="D20" s="51"/>
      <c r="E20" s="51"/>
      <c r="F20" s="51"/>
      <c r="G20" s="51"/>
      <c r="H20" s="51"/>
      <c r="I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r="21" spans="1:20" ht="21" x14ac:dyDescent="0.4">
      <c r="A21" s="54">
        <f>SUM(DATA!AI17:AK17)</f>
        <v>5960.2952706048682</v>
      </c>
      <c r="B21" s="54"/>
      <c r="C21" s="56" t="s">
        <v>56</v>
      </c>
      <c r="D21" s="56"/>
      <c r="E21" s="51"/>
      <c r="F21" s="51"/>
      <c r="G21" s="51"/>
      <c r="H21" s="51"/>
      <c r="I21" s="51"/>
      <c r="K21" s="51"/>
      <c r="L21" s="54">
        <f>SUM(DATA!Z17:AB17)</f>
        <v>1116.3321226417202</v>
      </c>
      <c r="M21" s="54"/>
      <c r="N21" s="55" t="s">
        <v>58</v>
      </c>
      <c r="O21" s="55"/>
      <c r="P21" s="51"/>
      <c r="Q21" s="51"/>
      <c r="R21" s="51"/>
      <c r="S21" s="51"/>
      <c r="T21" s="51"/>
    </row>
    <row r="22" spans="1:20" x14ac:dyDescent="0.3">
      <c r="A22" s="51"/>
      <c r="B22" s="51"/>
      <c r="C22" s="51"/>
      <c r="D22" s="51"/>
      <c r="E22" s="51"/>
      <c r="F22" s="51"/>
      <c r="G22" s="51"/>
      <c r="H22" s="51"/>
      <c r="I22" s="51"/>
      <c r="K22" s="51"/>
      <c r="L22" s="51"/>
      <c r="M22" s="51"/>
      <c r="N22" s="51"/>
      <c r="O22" s="51"/>
      <c r="P22" s="51"/>
      <c r="Q22" s="51"/>
      <c r="R22" s="51"/>
      <c r="S22" s="51"/>
      <c r="T22" s="51"/>
    </row>
    <row r="23" spans="1:20" x14ac:dyDescent="0.3">
      <c r="A23" s="51"/>
      <c r="B23" s="51"/>
      <c r="C23" s="51"/>
      <c r="D23" s="51"/>
      <c r="E23" s="51"/>
      <c r="F23" s="51"/>
      <c r="G23" s="51"/>
      <c r="H23" s="51"/>
      <c r="I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21" x14ac:dyDescent="0.4">
      <c r="A24" s="54">
        <f>SUM(DATA!AO17:AQ17)</f>
        <v>7500</v>
      </c>
      <c r="B24" s="54"/>
      <c r="C24" s="100" t="s">
        <v>55</v>
      </c>
      <c r="D24" s="100"/>
      <c r="E24" s="51"/>
      <c r="F24" s="51"/>
      <c r="G24" s="51"/>
      <c r="H24" s="51"/>
      <c r="I24" s="51"/>
      <c r="K24" s="51"/>
      <c r="L24" s="54">
        <f>SUM(DATA!AC17:AE17)</f>
        <v>1000</v>
      </c>
      <c r="M24" s="54"/>
      <c r="N24" s="100" t="s">
        <v>59</v>
      </c>
      <c r="O24" s="100"/>
      <c r="P24" s="51"/>
      <c r="Q24" s="51"/>
      <c r="R24" s="51"/>
      <c r="S24" s="51"/>
      <c r="T24" s="51"/>
    </row>
    <row r="25" spans="1:20" x14ac:dyDescent="0.3">
      <c r="A25" s="51"/>
      <c r="B25" s="51"/>
      <c r="C25" s="51"/>
      <c r="D25" s="51"/>
      <c r="E25" s="51"/>
      <c r="F25" s="51"/>
      <c r="G25" s="51"/>
      <c r="H25" s="51"/>
      <c r="I25" s="51"/>
      <c r="K25" s="51"/>
      <c r="L25" s="51"/>
      <c r="M25" s="51"/>
      <c r="N25" s="51"/>
      <c r="O25" s="51"/>
      <c r="P25" s="51"/>
      <c r="Q25" s="51"/>
      <c r="R25" s="51"/>
      <c r="S25" s="51"/>
      <c r="T25" s="51"/>
    </row>
    <row r="26" spans="1:20" x14ac:dyDescent="0.3">
      <c r="A26" s="51"/>
      <c r="B26" s="51"/>
      <c r="C26" s="51"/>
      <c r="D26" s="51"/>
      <c r="E26" s="51"/>
      <c r="F26" s="51"/>
      <c r="G26" s="51"/>
      <c r="H26" s="51"/>
      <c r="I26" s="51"/>
      <c r="K26" s="51"/>
      <c r="L26" s="51"/>
      <c r="M26" s="51"/>
      <c r="N26" s="51"/>
      <c r="O26" s="51"/>
      <c r="P26" s="51"/>
      <c r="Q26" s="51"/>
      <c r="R26" s="51"/>
      <c r="S26" s="51"/>
      <c r="T26" s="51"/>
    </row>
    <row r="27" spans="1:20" ht="21" x14ac:dyDescent="0.3">
      <c r="A27" s="99">
        <f>A21/A24</f>
        <v>0.79470603608064905</v>
      </c>
      <c r="B27" s="99"/>
      <c r="C27" s="100" t="s">
        <v>45</v>
      </c>
      <c r="D27" s="100"/>
      <c r="E27" s="51"/>
      <c r="F27" s="51"/>
      <c r="G27" s="51"/>
      <c r="H27" s="51"/>
      <c r="I27" s="51"/>
      <c r="K27" s="51"/>
      <c r="L27" s="99">
        <f>L21/L24</f>
        <v>1.1163321226417202</v>
      </c>
      <c r="M27" s="99"/>
      <c r="N27" s="100" t="s">
        <v>45</v>
      </c>
      <c r="O27" s="100"/>
      <c r="P27" s="51"/>
      <c r="Q27" s="51"/>
      <c r="R27" s="51"/>
      <c r="S27" s="51"/>
      <c r="T27" s="51"/>
    </row>
    <row r="28" spans="1:20" x14ac:dyDescent="0.3">
      <c r="A28" s="51"/>
      <c r="B28" s="51"/>
      <c r="C28" s="62"/>
      <c r="D28" s="62"/>
      <c r="E28" s="51"/>
      <c r="F28" s="51"/>
      <c r="G28" s="51"/>
      <c r="H28" s="51"/>
      <c r="I28" s="51"/>
      <c r="K28" s="51"/>
      <c r="L28" s="51"/>
      <c r="M28" s="51"/>
      <c r="N28" s="51"/>
      <c r="O28" s="51"/>
      <c r="P28" s="51"/>
      <c r="Q28" s="51"/>
      <c r="R28" s="51"/>
      <c r="S28" s="51"/>
      <c r="T28" s="51"/>
    </row>
    <row r="29" spans="1:20" x14ac:dyDescent="0.3">
      <c r="A29" s="51"/>
      <c r="B29" s="51"/>
      <c r="C29" s="51"/>
      <c r="D29" s="51"/>
      <c r="E29" s="51"/>
      <c r="F29" s="51"/>
      <c r="G29" s="51"/>
      <c r="H29" s="51"/>
      <c r="I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 spans="1:20" x14ac:dyDescent="0.3">
      <c r="A30" s="51"/>
      <c r="B30" s="51"/>
      <c r="C30" s="51"/>
      <c r="D30" s="51"/>
      <c r="E30" s="51"/>
      <c r="F30" s="51"/>
      <c r="G30" s="51"/>
      <c r="H30" s="51"/>
      <c r="I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 spans="1:20" x14ac:dyDescent="0.3">
      <c r="A31" s="51"/>
      <c r="B31" s="51"/>
      <c r="C31" s="51"/>
      <c r="D31" s="51"/>
      <c r="E31" s="51"/>
      <c r="F31" s="51"/>
      <c r="G31" s="51"/>
      <c r="H31" s="51"/>
      <c r="I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 spans="1:20" x14ac:dyDescent="0.3">
      <c r="A32" s="51"/>
      <c r="B32" s="51"/>
      <c r="C32" s="51"/>
      <c r="D32" s="51"/>
      <c r="E32" s="51"/>
      <c r="F32" s="51"/>
      <c r="G32" s="51"/>
      <c r="H32" s="51"/>
      <c r="I32" s="51"/>
      <c r="K32" s="51"/>
      <c r="L32" s="51"/>
      <c r="M32" s="51"/>
      <c r="N32" s="51"/>
      <c r="O32" s="51"/>
      <c r="P32" s="51"/>
      <c r="Q32" s="51"/>
      <c r="R32" s="51"/>
      <c r="S32" s="51"/>
      <c r="T32" s="51"/>
    </row>
    <row r="33" spans="1:20" x14ac:dyDescent="0.3">
      <c r="A33" s="51"/>
      <c r="B33" s="51"/>
      <c r="C33" s="51"/>
      <c r="D33" s="51"/>
      <c r="E33" s="51"/>
      <c r="F33" s="51"/>
      <c r="G33" s="51"/>
      <c r="H33" s="51"/>
      <c r="I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r="35" spans="1:20" ht="15.6" customHeight="1" x14ac:dyDescent="0.3">
      <c r="B35" s="108" t="s">
        <v>26</v>
      </c>
      <c r="C35" s="109"/>
      <c r="D35" s="109"/>
      <c r="F35" s="110" t="s">
        <v>27</v>
      </c>
      <c r="G35" s="110"/>
      <c r="H35" s="110"/>
      <c r="I35" s="110"/>
      <c r="J35" s="68"/>
      <c r="K35" s="111" t="s">
        <v>62</v>
      </c>
      <c r="L35" s="111"/>
      <c r="M35" s="111"/>
      <c r="N35" s="111"/>
      <c r="P35" s="112" t="s">
        <v>29</v>
      </c>
      <c r="Q35" s="112"/>
      <c r="R35" s="112"/>
      <c r="S35" s="112"/>
    </row>
    <row r="36" spans="1:20" ht="14.4" customHeight="1" x14ac:dyDescent="0.3">
      <c r="B36" s="106">
        <f>DATA!C19</f>
        <v>9255000</v>
      </c>
      <c r="C36" s="106"/>
      <c r="D36" s="106"/>
      <c r="F36" s="104"/>
      <c r="G36" s="104"/>
      <c r="H36" s="104"/>
      <c r="I36" s="104"/>
      <c r="K36" s="105">
        <f>DATA!C21</f>
        <v>1228</v>
      </c>
      <c r="L36" s="105"/>
      <c r="M36" s="105"/>
      <c r="N36" s="105"/>
      <c r="P36" s="105">
        <f>DATA!C22</f>
        <v>2436.1674124769675</v>
      </c>
      <c r="Q36" s="105"/>
      <c r="R36" s="105"/>
      <c r="S36" s="105"/>
    </row>
    <row r="37" spans="1:20" ht="14.4" customHeight="1" x14ac:dyDescent="0.3">
      <c r="B37" s="106"/>
      <c r="C37" s="106"/>
      <c r="D37" s="106"/>
      <c r="F37" s="113">
        <f>DATA!C20</f>
        <v>3799</v>
      </c>
      <c r="G37" s="113"/>
      <c r="H37" s="113"/>
      <c r="I37" s="113"/>
      <c r="K37" s="105"/>
      <c r="L37" s="105"/>
      <c r="M37" s="105"/>
      <c r="N37" s="105"/>
      <c r="P37" s="105"/>
      <c r="Q37" s="105"/>
      <c r="R37" s="105"/>
      <c r="S37" s="105"/>
    </row>
    <row r="38" spans="1:20" ht="14.4" customHeight="1" x14ac:dyDescent="0.3">
      <c r="B38" s="106"/>
      <c r="C38" s="106"/>
      <c r="D38" s="106"/>
      <c r="F38" s="113"/>
      <c r="G38" s="113"/>
      <c r="H38" s="113"/>
      <c r="I38" s="113"/>
      <c r="K38" s="105"/>
      <c r="L38" s="105"/>
      <c r="M38" s="105"/>
      <c r="N38" s="105"/>
      <c r="P38" s="105"/>
      <c r="Q38" s="105"/>
      <c r="R38" s="105"/>
      <c r="S38" s="105"/>
    </row>
    <row r="39" spans="1:20" ht="14.4" customHeight="1" x14ac:dyDescent="0.3">
      <c r="B39" s="106"/>
      <c r="C39" s="106"/>
      <c r="D39" s="106"/>
      <c r="F39" s="113"/>
      <c r="G39" s="113"/>
      <c r="H39" s="113"/>
      <c r="I39" s="113"/>
      <c r="K39" s="105"/>
      <c r="L39" s="105"/>
      <c r="M39" s="105"/>
      <c r="N39" s="105"/>
      <c r="P39" s="105"/>
      <c r="Q39" s="105"/>
      <c r="R39" s="105"/>
      <c r="S39" s="105"/>
    </row>
    <row r="40" spans="1:20" ht="14.4" customHeight="1" x14ac:dyDescent="0.3">
      <c r="B40" s="106"/>
      <c r="C40" s="106"/>
      <c r="D40" s="106"/>
      <c r="F40" s="104"/>
      <c r="G40" s="104"/>
      <c r="H40" s="104"/>
      <c r="I40" s="104"/>
      <c r="K40" s="104"/>
      <c r="L40" s="104"/>
      <c r="M40" s="104"/>
      <c r="N40" s="104"/>
      <c r="P40" s="107"/>
      <c r="Q40" s="107"/>
      <c r="R40" s="107"/>
      <c r="S40" s="107"/>
    </row>
  </sheetData>
  <mergeCells count="39">
    <mergeCell ref="P35:S35"/>
    <mergeCell ref="P36:S39"/>
    <mergeCell ref="B36:D40"/>
    <mergeCell ref="B35:D35"/>
    <mergeCell ref="F35:I35"/>
    <mergeCell ref="F37:I39"/>
    <mergeCell ref="K35:N35"/>
    <mergeCell ref="K36:N39"/>
    <mergeCell ref="K18:N18"/>
    <mergeCell ref="L21:M21"/>
    <mergeCell ref="L24:M24"/>
    <mergeCell ref="L27:M27"/>
    <mergeCell ref="N21:O21"/>
    <mergeCell ref="N24:O24"/>
    <mergeCell ref="N27:O27"/>
    <mergeCell ref="P18:T18"/>
    <mergeCell ref="C21:D21"/>
    <mergeCell ref="C24:D24"/>
    <mergeCell ref="C28:D28"/>
    <mergeCell ref="A18:B18"/>
    <mergeCell ref="C27:D27"/>
    <mergeCell ref="A21:B21"/>
    <mergeCell ref="A24:B24"/>
    <mergeCell ref="A27:B27"/>
    <mergeCell ref="D18:H18"/>
    <mergeCell ref="K2:M2"/>
    <mergeCell ref="M4:N4"/>
    <mergeCell ref="M7:N7"/>
    <mergeCell ref="M10:N10"/>
    <mergeCell ref="K10:L10"/>
    <mergeCell ref="O2:S2"/>
    <mergeCell ref="A4:B4"/>
    <mergeCell ref="A7:B7"/>
    <mergeCell ref="C7:D7"/>
    <mergeCell ref="C4:D4"/>
    <mergeCell ref="C6:D6"/>
    <mergeCell ref="A6:B6"/>
    <mergeCell ref="C9:D9"/>
    <mergeCell ref="E2:H2"/>
  </mergeCells>
  <conditionalFormatting sqref="A10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B10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A9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K10:L10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2026-05-22T04:48:58Z</dcterms:created>
  <dcterms:modified xsi:type="dcterms:W3CDTF">2026-05-22T07:24:51Z</dcterms:modified>
</cp:coreProperties>
</file>