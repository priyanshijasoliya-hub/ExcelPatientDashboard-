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Excel\"/>
    </mc:Choice>
  </mc:AlternateContent>
  <bookViews>
    <workbookView xWindow="0" yWindow="0" windowWidth="17256" windowHeight="5688" firstSheet="3" activeTab="5"/>
  </bookViews>
  <sheets>
    <sheet name="pivot" sheetId="3" r:id="rId1"/>
    <sheet name="smoker_across_region" sheetId="4" r:id="rId2"/>
    <sheet name="regional_Expenditure" sheetId="8" r:id="rId3"/>
    <sheet name="average cost" sheetId="9" r:id="rId4"/>
    <sheet name="patient across health fac." sheetId="10" r:id="rId5"/>
    <sheet name="Sheet11" sheetId="13" r:id="rId6"/>
    <sheet name="DATA" sheetId="1" r:id="rId7"/>
    <sheet name="DashBoard" sheetId="2" r:id="rId8"/>
  </sheets>
  <definedNames>
    <definedName name="_xlchart.0" hidden="1">'patient across health fac.'!$A$4:$A$15</definedName>
    <definedName name="_xlchart.1" hidden="1">'patient across health fac.'!$B$4:$B$15</definedName>
    <definedName name="_xlchart.2" hidden="1">'patient across health fac.'!$D$3:$D$14</definedName>
    <definedName name="_xlchart.3" hidden="1">'patient across health fac.'!$E$3:$E$14</definedName>
    <definedName name="Slicer_Level">#N/A</definedName>
    <definedName name="Slicer_region">#N/A</definedName>
    <definedName name="Slicer_sex">#N/A</definedName>
    <definedName name="Slicer_Weight_Status">#N/A</definedName>
  </definedNames>
  <calcPr calcId="162913"/>
  <pivotCaches>
    <pivotCache cacheId="4" r:id="rId9"/>
    <pivotCache cacheId="5"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2" l="1"/>
  <c r="K5" i="2"/>
  <c r="E5" i="2"/>
  <c r="H5" i="2"/>
</calcChain>
</file>

<file path=xl/sharedStrings.xml><?xml version="1.0" encoding="utf-8"?>
<sst xmlns="http://schemas.openxmlformats.org/spreadsheetml/2006/main" count="830" uniqueCount="70">
  <si>
    <t>Patient_ID</t>
  </si>
  <si>
    <t>age</t>
  </si>
  <si>
    <t>sex</t>
  </si>
  <si>
    <t>bmi</t>
  </si>
  <si>
    <t>children</t>
  </si>
  <si>
    <t>smoker</t>
  </si>
  <si>
    <t>region</t>
  </si>
  <si>
    <t>charges</t>
  </si>
  <si>
    <t>Facility</t>
  </si>
  <si>
    <t>Level</t>
  </si>
  <si>
    <t>Weight Status</t>
  </si>
  <si>
    <t>female</t>
  </si>
  <si>
    <t>yes</t>
  </si>
  <si>
    <t>southwest</t>
  </si>
  <si>
    <t>Kenyatta National Hospital</t>
  </si>
  <si>
    <t>male</t>
  </si>
  <si>
    <t>no</t>
  </si>
  <si>
    <t>southeast</t>
  </si>
  <si>
    <t>Kiambu county referral hospital</t>
  </si>
  <si>
    <t>Kenyatta University Teaching and Referral Hospital</t>
  </si>
  <si>
    <t>northwest</t>
  </si>
  <si>
    <t>Kajiado county referral hospital</t>
  </si>
  <si>
    <t>Kakamega county referral hospital</t>
  </si>
  <si>
    <t>Moi Teaching and Referral Hospital</t>
  </si>
  <si>
    <t>northeast</t>
  </si>
  <si>
    <t>Wangige sub county hospital</t>
  </si>
  <si>
    <t>Westlands sub county hospital</t>
  </si>
  <si>
    <t>Kibra sub county hospital</t>
  </si>
  <si>
    <t>Ngara Healthcentre</t>
  </si>
  <si>
    <t>Kibuye Healthcentre</t>
  </si>
  <si>
    <t>Lel Healthcentre</t>
  </si>
  <si>
    <t>National Referral Hospitals</t>
  </si>
  <si>
    <t>Overweight</t>
  </si>
  <si>
    <t>County Referral Hospitals</t>
  </si>
  <si>
    <t>Obese</t>
  </si>
  <si>
    <t>Healthy</t>
  </si>
  <si>
    <t>County Hospitals</t>
  </si>
  <si>
    <t>Health Centres</t>
  </si>
  <si>
    <t>Underweight</t>
  </si>
  <si>
    <t>Patient Data Insights: Health Trends And Financial Analysis</t>
  </si>
  <si>
    <t>Row Labels</t>
  </si>
  <si>
    <t>Grand Total</t>
  </si>
  <si>
    <t>Column Labels</t>
  </si>
  <si>
    <t>Count of Level</t>
  </si>
  <si>
    <t>Count of smoker</t>
  </si>
  <si>
    <t>Avg. Age</t>
  </si>
  <si>
    <t>Avg. BMI</t>
  </si>
  <si>
    <t>Avg. Children</t>
  </si>
  <si>
    <t>Avg. Charges</t>
  </si>
  <si>
    <t>Patient Count</t>
  </si>
  <si>
    <t>Sum of charges</t>
  </si>
  <si>
    <t>Average of charges</t>
  </si>
  <si>
    <t>Count of Patient_ID</t>
  </si>
  <si>
    <t>Key Takeaways</t>
  </si>
  <si>
    <t>Smoking  Patterns:</t>
  </si>
  <si>
    <t xml:space="preserve">The majority of smokers are concentrated  in the </t>
  </si>
  <si>
    <t>southeast region, indicating a potential focus area</t>
  </si>
  <si>
    <t>for public health interventions targeting</t>
  </si>
  <si>
    <t>smoking cessation.</t>
  </si>
  <si>
    <t>Healthcare costs:</t>
  </si>
  <si>
    <t>Westlands Sub County Hospital</t>
  </si>
  <si>
    <t>records the highest average healthcare charges,</t>
  </si>
  <si>
    <t xml:space="preserve">suggesting the need to investigate factors driving </t>
  </si>
  <si>
    <t>costs in this facility</t>
  </si>
  <si>
    <t>BMI and Weight status:</t>
  </si>
  <si>
    <t xml:space="preserve">Patients with higher BMI  values are predominantly </t>
  </si>
  <si>
    <t>classified as obese, with an average BMI of 34.975.</t>
  </si>
  <si>
    <t xml:space="preserve">This highlights the prevalance  of obesity and the </t>
  </si>
  <si>
    <t xml:space="preserve">potential  need for targeted health programs </t>
  </si>
  <si>
    <t>addressing weight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</si>
</sst>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_(* #,##0_);_(* \(#,##0\);_(* &quot;-&quot;??_);_(@_)"/>
    <numFmt numFmtId="165" formatCode="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sto MT"/>
      <family val="1"/>
    </font>
    <font>
      <b/>
      <sz val="24"/>
      <color theme="1"/>
      <name val="Calisto MT"/>
      <family val="1"/>
    </font>
    <font>
      <b/>
      <sz val="16"/>
      <color theme="1"/>
      <name val="Californian FB"/>
      <family val="1"/>
    </font>
    <font>
      <b/>
      <sz val="14"/>
      <color theme="1"/>
      <name val="Californian FB"/>
      <family val="1"/>
    </font>
    <font>
      <b/>
      <sz val="14"/>
      <color theme="1"/>
      <name val="Castellar"/>
      <family val="1"/>
    </font>
    <font>
      <sz val="14"/>
      <color theme="1"/>
      <name val="Bell MT"/>
      <family val="1"/>
    </font>
    <font>
      <sz val="13"/>
      <color theme="1"/>
      <name val="Bell MT"/>
      <family val="1"/>
    </font>
    <font>
      <sz val="12.5"/>
      <color theme="1"/>
      <name val="Bell MT"/>
      <family val="1"/>
    </font>
    <font>
      <sz val="14"/>
      <color theme="1"/>
      <name val="Calisto MT"/>
      <family val="1"/>
    </font>
    <font>
      <b/>
      <sz val="13"/>
      <color theme="1"/>
      <name val="Bell MT"/>
      <family val="1"/>
    </font>
  </fonts>
  <fills count="10">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rgb="FF0054A8"/>
        <bgColor indexed="64"/>
      </patternFill>
    </fill>
    <fill>
      <patternFill patternType="solid">
        <fgColor theme="7" tint="0.79998168889431442"/>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0" fontId="0" fillId="0" borderId="0" xfId="0"/>
    <xf numFmtId="0" fontId="2" fillId="0" borderId="0" xfId="0" applyFont="1"/>
    <xf numFmtId="164" fontId="2" fillId="0" borderId="0" xfId="1" applyNumberFormat="1" applyFont="1"/>
    <xf numFmtId="164"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5" borderId="0" xfId="0" applyFill="1" applyAlignment="1"/>
    <xf numFmtId="0" fontId="0" fillId="4" borderId="0" xfId="0" applyFill="1" applyAlignment="1"/>
    <xf numFmtId="0" fontId="0" fillId="7" borderId="0" xfId="0" applyFill="1" applyAlignment="1"/>
    <xf numFmtId="0" fontId="4" fillId="3" borderId="0" xfId="0" applyFont="1" applyFill="1" applyAlignment="1">
      <alignment vertical="center"/>
    </xf>
    <xf numFmtId="0" fontId="8" fillId="4" borderId="0" xfId="0" applyFont="1" applyFill="1" applyAlignment="1"/>
    <xf numFmtId="0" fontId="3" fillId="4" borderId="0" xfId="0" applyFont="1" applyFill="1" applyAlignment="1"/>
    <xf numFmtId="0" fontId="11" fillId="4" borderId="0" xfId="0" applyFont="1" applyFill="1" applyAlignment="1"/>
    <xf numFmtId="0" fontId="10" fillId="4" borderId="0" xfId="0" applyFont="1" applyFill="1" applyAlignment="1">
      <alignment vertical="top"/>
    </xf>
    <xf numFmtId="0" fontId="8" fillId="4" borderId="0" xfId="0" applyFont="1" applyFill="1" applyAlignment="1">
      <alignment vertical="top"/>
    </xf>
    <xf numFmtId="0" fontId="7" fillId="4" borderId="0" xfId="0" applyFont="1" applyFill="1" applyAlignment="1">
      <alignment vertical="center"/>
    </xf>
    <xf numFmtId="0" fontId="0" fillId="4" borderId="0" xfId="0" applyFill="1" applyAlignment="1">
      <alignment vertical="center"/>
    </xf>
    <xf numFmtId="0" fontId="8" fillId="4" borderId="0" xfId="0" applyFont="1" applyFill="1" applyAlignment="1">
      <alignment horizontal="left"/>
    </xf>
    <xf numFmtId="0" fontId="8" fillId="4" borderId="0" xfId="0" applyFont="1" applyFill="1" applyAlignment="1">
      <alignment horizontal="left"/>
    </xf>
    <xf numFmtId="0" fontId="3" fillId="4" borderId="0" xfId="0" applyFont="1" applyFill="1" applyAlignment="1">
      <alignment horizontal="left"/>
    </xf>
    <xf numFmtId="0" fontId="8" fillId="4" borderId="0" xfId="0" applyFont="1" applyFill="1" applyAlignment="1">
      <alignment horizontal="left" vertical="top"/>
    </xf>
    <xf numFmtId="0" fontId="3" fillId="4" borderId="0" xfId="0" applyFont="1" applyFill="1" applyAlignment="1">
      <alignment horizontal="left" vertical="center"/>
    </xf>
    <xf numFmtId="0" fontId="12" fillId="4" borderId="0" xfId="0" applyFont="1" applyFill="1" applyAlignment="1">
      <alignment horizontal="left"/>
    </xf>
    <xf numFmtId="0" fontId="9" fillId="4" borderId="0" xfId="0" applyFont="1" applyFill="1" applyAlignment="1">
      <alignment horizontal="left"/>
    </xf>
    <xf numFmtId="0" fontId="4" fillId="3" borderId="0" xfId="0" applyFont="1" applyFill="1" applyAlignment="1">
      <alignment horizontal="center" vertical="center"/>
    </xf>
    <xf numFmtId="0" fontId="6" fillId="9" borderId="0" xfId="0" applyFont="1" applyFill="1" applyAlignment="1">
      <alignment horizontal="center" vertical="center"/>
    </xf>
    <xf numFmtId="0" fontId="5" fillId="9" borderId="0" xfId="0" applyFont="1" applyFill="1" applyAlignment="1">
      <alignment horizontal="center"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6" fillId="4" borderId="0" xfId="0" applyFont="1" applyFill="1" applyAlignment="1">
      <alignment horizontal="center" vertical="center"/>
    </xf>
    <xf numFmtId="165" fontId="5" fillId="4" borderId="0" xfId="0" applyNumberFormat="1" applyFont="1" applyFill="1" applyAlignment="1">
      <alignment horizontal="center" vertical="center"/>
    </xf>
    <xf numFmtId="0" fontId="6" fillId="8" borderId="0" xfId="0" applyFont="1" applyFill="1" applyAlignment="1">
      <alignment horizontal="center" vertical="center"/>
    </xf>
    <xf numFmtId="165" fontId="5" fillId="8" borderId="0" xfId="0" applyNumberFormat="1" applyFont="1" applyFill="1" applyAlignment="1">
      <alignment horizontal="center" vertical="center"/>
    </xf>
    <xf numFmtId="0" fontId="6" fillId="6" borderId="0" xfId="0" applyFont="1" applyFill="1" applyAlignment="1">
      <alignment horizontal="center" vertical="center"/>
    </xf>
    <xf numFmtId="0" fontId="5" fillId="6" borderId="0" xfId="0" applyFont="1" applyFill="1" applyAlignment="1">
      <alignment horizontal="center" vertical="center"/>
    </xf>
    <xf numFmtId="0" fontId="0" fillId="5" borderId="0" xfId="0" applyFill="1" applyAlignment="1">
      <alignment horizontal="center"/>
    </xf>
    <xf numFmtId="0" fontId="0" fillId="3" borderId="0" xfId="0" applyFill="1" applyAlignment="1">
      <alignment horizontal="center"/>
    </xf>
  </cellXfs>
  <cellStyles count="2">
    <cellStyle name="Comma" xfId="1" builtinId="3"/>
    <cellStyle name="Normal" xfId="0" builtinId="0"/>
  </cellStyles>
  <dxfs count="2">
    <dxf>
      <font>
        <b val="0"/>
        <i val="0"/>
        <strike val="0"/>
        <condense val="0"/>
        <extend val="0"/>
        <outline val="0"/>
        <shadow val="0"/>
        <u val="none"/>
        <vertAlign val="baseline"/>
        <sz val="11"/>
        <color theme="1"/>
        <name val="Calibri"/>
        <scheme val="minor"/>
      </font>
      <numFmt numFmtId="164" formatCode="_(* #,##0_);_(* \(#,##0\);_(* &quot;-&quot;??_);_(@_)"/>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054A8"/>
      <color rgb="FF3366CC"/>
      <color rgb="FF3B83C5"/>
      <color rgb="FF7295DC"/>
      <color rgb="FF9EC2E2"/>
      <color rgb="FF0099CC"/>
      <color rgb="FF0066CC"/>
      <color rgb="FFDAA4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(Autosaved).xlsx]smoker_across_region!PivotTable36</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IN" sz="1200" b="1">
                <a:latin typeface="Californian FB" panose="0207040306080B030204" pitchFamily="18" charset="0"/>
              </a:rPr>
              <a:t>No. of Smokers And Non Smokers Across Regions</a:t>
            </a:r>
          </a:p>
        </c:rich>
      </c:tx>
      <c:layout>
        <c:manualLayout>
          <c:xMode val="edge"/>
          <c:yMode val="edge"/>
          <c:x val="0.22477777777777777"/>
          <c:y val="4.52755905511811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6.6580927384076991E-2"/>
          <c:y val="0.1552989209682123"/>
          <c:w val="0.77591907261592286"/>
          <c:h val="0.64572980460775742"/>
        </c:manualLayout>
      </c:layout>
      <c:barChart>
        <c:barDir val="col"/>
        <c:grouping val="clustered"/>
        <c:varyColors val="0"/>
        <c:ser>
          <c:idx val="0"/>
          <c:order val="0"/>
          <c:tx>
            <c:strRef>
              <c:f>smoker_across_region!$G$3:$G$4</c:f>
              <c:strCache>
                <c:ptCount val="1"/>
                <c:pt idx="0">
                  <c:v>no</c:v>
                </c:pt>
              </c:strCache>
            </c:strRef>
          </c:tx>
          <c:spPr>
            <a:solidFill>
              <a:schemeClr val="accent1"/>
            </a:solidFill>
            <a:ln>
              <a:noFill/>
            </a:ln>
            <a:effectLst/>
          </c:spPr>
          <c:invertIfNegative val="0"/>
          <c:cat>
            <c:strRef>
              <c:f>smoker_across_region!$F$5:$F$9</c:f>
              <c:strCache>
                <c:ptCount val="4"/>
                <c:pt idx="0">
                  <c:v>northeast</c:v>
                </c:pt>
                <c:pt idx="1">
                  <c:v>northwest</c:v>
                </c:pt>
                <c:pt idx="2">
                  <c:v>southeast</c:v>
                </c:pt>
                <c:pt idx="3">
                  <c:v>southwest</c:v>
                </c:pt>
              </c:strCache>
            </c:strRef>
          </c:cat>
          <c:val>
            <c:numRef>
              <c:f>smoker_across_region!$G$5:$G$9</c:f>
              <c:numCache>
                <c:formatCode>General</c:formatCode>
                <c:ptCount val="4"/>
                <c:pt idx="0">
                  <c:v>20</c:v>
                </c:pt>
                <c:pt idx="1">
                  <c:v>27</c:v>
                </c:pt>
                <c:pt idx="2">
                  <c:v>20</c:v>
                </c:pt>
                <c:pt idx="3">
                  <c:v>18</c:v>
                </c:pt>
              </c:numCache>
            </c:numRef>
          </c:val>
          <c:extLst>
            <c:ext xmlns:c16="http://schemas.microsoft.com/office/drawing/2014/chart" uri="{C3380CC4-5D6E-409C-BE32-E72D297353CC}">
              <c16:uniqueId val="{00000000-7D88-439E-B6B2-F073ACC3D1C9}"/>
            </c:ext>
          </c:extLst>
        </c:ser>
        <c:ser>
          <c:idx val="1"/>
          <c:order val="1"/>
          <c:tx>
            <c:strRef>
              <c:f>smoker_across_region!$H$3:$H$4</c:f>
              <c:strCache>
                <c:ptCount val="1"/>
                <c:pt idx="0">
                  <c:v>yes</c:v>
                </c:pt>
              </c:strCache>
            </c:strRef>
          </c:tx>
          <c:spPr>
            <a:solidFill>
              <a:schemeClr val="accent2"/>
            </a:solidFill>
            <a:ln>
              <a:noFill/>
            </a:ln>
            <a:effectLst/>
          </c:spPr>
          <c:invertIfNegative val="0"/>
          <c:cat>
            <c:strRef>
              <c:f>smoker_across_region!$F$5:$F$9</c:f>
              <c:strCache>
                <c:ptCount val="4"/>
                <c:pt idx="0">
                  <c:v>northeast</c:v>
                </c:pt>
                <c:pt idx="1">
                  <c:v>northwest</c:v>
                </c:pt>
                <c:pt idx="2">
                  <c:v>southeast</c:v>
                </c:pt>
                <c:pt idx="3">
                  <c:v>southwest</c:v>
                </c:pt>
              </c:strCache>
            </c:strRef>
          </c:cat>
          <c:val>
            <c:numRef>
              <c:f>smoker_across_region!$H$5:$H$9</c:f>
              <c:numCache>
                <c:formatCode>General</c:formatCode>
                <c:ptCount val="4"/>
                <c:pt idx="0">
                  <c:v>4</c:v>
                </c:pt>
                <c:pt idx="1">
                  <c:v>5</c:v>
                </c:pt>
                <c:pt idx="2">
                  <c:v>11</c:v>
                </c:pt>
                <c:pt idx="3">
                  <c:v>10</c:v>
                </c:pt>
              </c:numCache>
            </c:numRef>
          </c:val>
          <c:extLst>
            <c:ext xmlns:c16="http://schemas.microsoft.com/office/drawing/2014/chart" uri="{C3380CC4-5D6E-409C-BE32-E72D297353CC}">
              <c16:uniqueId val="{00000001-7D88-439E-B6B2-F073ACC3D1C9}"/>
            </c:ext>
          </c:extLst>
        </c:ser>
        <c:dLbls>
          <c:showLegendKey val="0"/>
          <c:showVal val="0"/>
          <c:showCatName val="0"/>
          <c:showSerName val="0"/>
          <c:showPercent val="0"/>
          <c:showBubbleSize val="0"/>
        </c:dLbls>
        <c:gapWidth val="219"/>
        <c:overlap val="-27"/>
        <c:axId val="1146862080"/>
        <c:axId val="1146852512"/>
      </c:barChart>
      <c:catAx>
        <c:axId val="114686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52512"/>
        <c:crosses val="autoZero"/>
        <c:auto val="1"/>
        <c:lblAlgn val="ctr"/>
        <c:lblOffset val="100"/>
        <c:noMultiLvlLbl val="0"/>
      </c:catAx>
      <c:valAx>
        <c:axId val="114685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6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(Autosaved).xlsx]smoker_across_region!PivotTable38</c:name>
    <c:fmtId val="3"/>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a:latin typeface="Californian FB" panose="0207040306080B030204" pitchFamily="18" charset="0"/>
              </a:rPr>
              <a:t>Smoking habitS: Yes VS No</a:t>
            </a:r>
          </a:p>
        </c:rich>
      </c:tx>
      <c:layout>
        <c:manualLayout>
          <c:xMode val="edge"/>
          <c:yMode val="edge"/>
          <c:x val="0.16502574326546779"/>
          <c:y val="0.11693185977865526"/>
        </c:manualLayout>
      </c:layout>
      <c:overlay val="0"/>
      <c:spPr>
        <a:noFill/>
        <a:ln>
          <a:noFill/>
        </a:ln>
        <a:effectLst/>
      </c:spPr>
    </c:title>
    <c:autoTitleDeleted val="0"/>
    <c:pivotFmts>
      <c:pivotFmt>
        <c:idx val="0"/>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38888888888889"/>
          <c:y val="0.23394612131816853"/>
          <c:w val="0.81388888888888888"/>
          <c:h val="0.59152704870224559"/>
        </c:manualLayout>
      </c:layout>
      <c:pie3DChart>
        <c:varyColors val="1"/>
        <c:ser>
          <c:idx val="0"/>
          <c:order val="0"/>
          <c:tx>
            <c:strRef>
              <c:f>smoker_across_region!$J$19</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7E5-4CD2-8C63-BD3200CEEB6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F7E5-4CD2-8C63-BD3200CEEB6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smoker_across_region!$I$20:$I$22</c:f>
              <c:strCache>
                <c:ptCount val="2"/>
                <c:pt idx="0">
                  <c:v>no</c:v>
                </c:pt>
                <c:pt idx="1">
                  <c:v>yes</c:v>
                </c:pt>
              </c:strCache>
            </c:strRef>
          </c:cat>
          <c:val>
            <c:numRef>
              <c:f>smoker_across_region!$J$20:$J$22</c:f>
              <c:numCache>
                <c:formatCode>General</c:formatCode>
                <c:ptCount val="2"/>
                <c:pt idx="0">
                  <c:v>85</c:v>
                </c:pt>
                <c:pt idx="1">
                  <c:v>30</c:v>
                </c:pt>
              </c:numCache>
            </c:numRef>
          </c:val>
          <c:extLst>
            <c:ext xmlns:c16="http://schemas.microsoft.com/office/drawing/2014/chart" uri="{C3380CC4-5D6E-409C-BE32-E72D297353CC}">
              <c16:uniqueId val="{00000000-F7E5-4CD2-8C63-BD3200CEEB6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(Autosaved).xlsx]regional_Expenditure!Regional_Expenditure</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US" b="1">
                <a:latin typeface="Californian FB" panose="0207040306080B030204" pitchFamily="18" charset="0"/>
              </a:rPr>
              <a:t>Regional Healthcare Expenditure</a:t>
            </a:r>
          </a:p>
        </c:rich>
      </c:tx>
      <c:layout>
        <c:manualLayout>
          <c:xMode val="edge"/>
          <c:yMode val="edge"/>
          <c:x val="0.22182633420822398"/>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s>
    <c:plotArea>
      <c:layout>
        <c:manualLayout>
          <c:layoutTarget val="inner"/>
          <c:xMode val="edge"/>
          <c:yMode val="edge"/>
          <c:x val="0.21288692038495191"/>
          <c:y val="0.1890489209682123"/>
          <c:w val="0.60215004374453196"/>
          <c:h val="0.70355169145523477"/>
        </c:manualLayout>
      </c:layout>
      <c:barChart>
        <c:barDir val="bar"/>
        <c:grouping val="clustered"/>
        <c:varyColors val="0"/>
        <c:ser>
          <c:idx val="0"/>
          <c:order val="0"/>
          <c:tx>
            <c:strRef>
              <c:f>regional_Expenditure!$B$3</c:f>
              <c:strCache>
                <c:ptCount val="1"/>
                <c:pt idx="0">
                  <c:v>Total</c:v>
                </c:pt>
              </c:strCache>
            </c:strRef>
          </c:tx>
          <c:spPr>
            <a:solidFill>
              <a:schemeClr val="accent2"/>
            </a:solidFill>
            <a:ln>
              <a:noFill/>
            </a:ln>
            <a:effectLst/>
          </c:spPr>
          <c:invertIfNegative val="0"/>
          <c:dLbls>
            <c:delete val="1"/>
          </c:dLbls>
          <c:cat>
            <c:strRef>
              <c:f>regional_Expenditure!$A$4:$A$8</c:f>
              <c:strCache>
                <c:ptCount val="4"/>
                <c:pt idx="0">
                  <c:v>northeast</c:v>
                </c:pt>
                <c:pt idx="1">
                  <c:v>northwest</c:v>
                </c:pt>
                <c:pt idx="2">
                  <c:v>southeast</c:v>
                </c:pt>
                <c:pt idx="3">
                  <c:v>southwest</c:v>
                </c:pt>
              </c:strCache>
            </c:strRef>
          </c:cat>
          <c:val>
            <c:numRef>
              <c:f>regional_Expenditure!$B$4:$B$8</c:f>
              <c:numCache>
                <c:formatCode>General</c:formatCode>
                <c:ptCount val="4"/>
                <c:pt idx="0">
                  <c:v>277625.89254999999</c:v>
                </c:pt>
                <c:pt idx="1">
                  <c:v>402482.14219999994</c:v>
                </c:pt>
                <c:pt idx="2">
                  <c:v>472129.5198999999</c:v>
                </c:pt>
                <c:pt idx="3">
                  <c:v>488614.99164999992</c:v>
                </c:pt>
              </c:numCache>
            </c:numRef>
          </c:val>
          <c:extLst>
            <c:ext xmlns:c16="http://schemas.microsoft.com/office/drawing/2014/chart" uri="{C3380CC4-5D6E-409C-BE32-E72D297353CC}">
              <c16:uniqueId val="{00000000-6FC6-4E2D-A970-651D1DECAE0E}"/>
            </c:ext>
          </c:extLst>
        </c:ser>
        <c:dLbls>
          <c:dLblPos val="outEnd"/>
          <c:showLegendKey val="0"/>
          <c:showVal val="1"/>
          <c:showCatName val="0"/>
          <c:showSerName val="0"/>
          <c:showPercent val="0"/>
          <c:showBubbleSize val="0"/>
        </c:dLbls>
        <c:gapWidth val="182"/>
        <c:axId val="1365390128"/>
        <c:axId val="1365379728"/>
      </c:barChart>
      <c:catAx>
        <c:axId val="136539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79728"/>
        <c:crosses val="autoZero"/>
        <c:auto val="1"/>
        <c:lblAlgn val="ctr"/>
        <c:lblOffset val="100"/>
        <c:noMultiLvlLbl val="0"/>
      </c:catAx>
      <c:valAx>
        <c:axId val="136537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90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(Autosaved).xlsx]average cost!PivotTable39</c:name>
    <c:fmtId val="1"/>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b="1">
                <a:latin typeface="Castellar" panose="020A0402060406010301" pitchFamily="18" charset="0"/>
              </a:rPr>
              <a:t>Facility- wise Average Healthcare costs</a:t>
            </a:r>
            <a:r>
              <a:rPr lang="en-US" sz="1200"/>
              <a:t>	</a:t>
            </a:r>
          </a:p>
        </c:rich>
      </c:tx>
      <c:layout>
        <c:manualLayout>
          <c:xMode val="edge"/>
          <c:yMode val="edge"/>
          <c:x val="0.20922882427307207"/>
          <c:y val="6.1986178853149429E-2"/>
        </c:manualLayout>
      </c:layout>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cost'!$B$3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 cost'!$A$4:$A$16</c:f>
              <c:strCache>
                <c:ptCount val="12"/>
                <c:pt idx="0">
                  <c:v>Wangige sub county hospital</c:v>
                </c:pt>
                <c:pt idx="1">
                  <c:v>Kiambu county referral hospital</c:v>
                </c:pt>
                <c:pt idx="2">
                  <c:v>Lel Healthcentre</c:v>
                </c:pt>
                <c:pt idx="3">
                  <c:v>Kakamega county referral hospital</c:v>
                </c:pt>
                <c:pt idx="4">
                  <c:v>Kibra sub county hospital</c:v>
                </c:pt>
                <c:pt idx="5">
                  <c:v>Kajiado county referral hospital</c:v>
                </c:pt>
                <c:pt idx="6">
                  <c:v>Kenyatta University Teaching and Referral Hospital</c:v>
                </c:pt>
                <c:pt idx="7">
                  <c:v>Kenyatta National Hospital</c:v>
                </c:pt>
                <c:pt idx="8">
                  <c:v>Moi Teaching and Referral Hospital</c:v>
                </c:pt>
                <c:pt idx="9">
                  <c:v>Ngara Healthcentre</c:v>
                </c:pt>
                <c:pt idx="10">
                  <c:v>Kibuye Healthcentre</c:v>
                </c:pt>
                <c:pt idx="11">
                  <c:v>Westlands sub county hospital</c:v>
                </c:pt>
              </c:strCache>
            </c:strRef>
          </c:cat>
          <c:val>
            <c:numRef>
              <c:f>'average cost'!$B$4:$B$16</c:f>
              <c:numCache>
                <c:formatCode>General</c:formatCode>
                <c:ptCount val="12"/>
                <c:pt idx="0">
                  <c:v>4589.01998</c:v>
                </c:pt>
                <c:pt idx="1">
                  <c:v>5041.9501999999993</c:v>
                </c:pt>
                <c:pt idx="2">
                  <c:v>11143.239328571426</c:v>
                </c:pt>
                <c:pt idx="3">
                  <c:v>12564.8572575</c:v>
                </c:pt>
                <c:pt idx="4">
                  <c:v>12746.40344</c:v>
                </c:pt>
                <c:pt idx="5">
                  <c:v>14139.497747647059</c:v>
                </c:pt>
                <c:pt idx="6">
                  <c:v>14935.759816153846</c:v>
                </c:pt>
                <c:pt idx="7">
                  <c:v>15001.288005833334</c:v>
                </c:pt>
                <c:pt idx="8">
                  <c:v>15316.768961111109</c:v>
                </c:pt>
                <c:pt idx="9">
                  <c:v>15377.713390000001</c:v>
                </c:pt>
                <c:pt idx="10">
                  <c:v>23477.489439999998</c:v>
                </c:pt>
                <c:pt idx="11">
                  <c:v>25654.610143999998</c:v>
                </c:pt>
              </c:numCache>
            </c:numRef>
          </c:val>
          <c:extLst>
            <c:ext xmlns:c16="http://schemas.microsoft.com/office/drawing/2014/chart" uri="{C3380CC4-5D6E-409C-BE32-E72D297353CC}">
              <c16:uniqueId val="{00000000-FD2F-4788-A5DB-445E4ADC1A00}"/>
            </c:ext>
          </c:extLst>
        </c:ser>
        <c:dLbls>
          <c:dLblPos val="inEnd"/>
          <c:showLegendKey val="0"/>
          <c:showVal val="1"/>
          <c:showCatName val="0"/>
          <c:showSerName val="0"/>
          <c:showPercent val="0"/>
          <c:showBubbleSize val="0"/>
        </c:dLbls>
        <c:gapWidth val="100"/>
        <c:axId val="1158936768"/>
        <c:axId val="1158932608"/>
      </c:barChart>
      <c:catAx>
        <c:axId val="115893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8932608"/>
        <c:crosses val="autoZero"/>
        <c:auto val="1"/>
        <c:lblAlgn val="ctr"/>
        <c:lblOffset val="100"/>
        <c:noMultiLvlLbl val="0"/>
      </c:catAx>
      <c:valAx>
        <c:axId val="1158932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accent5">
                        <a:lumMod val="75000"/>
                      </a:schemeClr>
                    </a:solidFill>
                    <a:latin typeface="Californian FB" panose="0207040306080B030204" pitchFamily="18" charset="0"/>
                    <a:ea typeface="+mn-ea"/>
                    <a:cs typeface="+mn-cs"/>
                  </a:defRPr>
                </a:pPr>
                <a:r>
                  <a:rPr lang="en-IN" b="1">
                    <a:solidFill>
                      <a:schemeClr val="accent5">
                        <a:lumMod val="75000"/>
                      </a:schemeClr>
                    </a:solidFill>
                    <a:latin typeface="Californian FB" panose="0207040306080B030204" pitchFamily="18" charset="0"/>
                  </a:rPr>
                  <a:t>Average Charges</a:t>
                </a:r>
              </a:p>
              <a:p>
                <a:pPr>
                  <a:defRPr b="1">
                    <a:solidFill>
                      <a:schemeClr val="accent5">
                        <a:lumMod val="75000"/>
                      </a:schemeClr>
                    </a:solidFill>
                    <a:latin typeface="Californian FB" panose="0207040306080B030204" pitchFamily="18" charset="0"/>
                  </a:defRPr>
                </a:pPr>
                <a:endParaRPr lang="en-IN" b="1">
                  <a:solidFill>
                    <a:schemeClr val="accent5">
                      <a:lumMod val="75000"/>
                    </a:schemeClr>
                  </a:solidFill>
                  <a:latin typeface="Californian FB" panose="0207040306080B030204" pitchFamily="18" charset="0"/>
                </a:endParaRPr>
              </a:p>
            </c:rich>
          </c:tx>
          <c:layout>
            <c:manualLayout>
              <c:xMode val="edge"/>
              <c:yMode val="edge"/>
              <c:x val="0.66471790583699164"/>
              <c:y val="0.8606837606837607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accent5">
                      <a:lumMod val="75000"/>
                    </a:schemeClr>
                  </a:solidFill>
                  <a:latin typeface="Californian FB" panose="0207040306080B030204"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8936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plotArea>
      <cx:plotAreaRegion>
        <cx:series layoutId="treemap" uniqueId="{793714A0-5074-4007-B5F4-B2DBD1B2A9DB}">
          <cx:dataId val="0"/>
          <cx:layoutPr/>
        </cx:series>
      </cx:plotAreaRegion>
    </cx:plotArea>
  </cx:chart>
  <cx:clrMapOvr bg1="lt1" tx1="dk1" bg2="lt2" tx2="dk2" accent1="accent1" accent2="accent2" accent3="accent3" accent4="accent4" accent5="accent5" accent6="accent6" hlink="hlink" folHlink="folHlink"/>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(Autosaved).xlsx]Sheet11!PivotTable48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Sheet11!$N$3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278-4674-9723-388955662C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278-4674-9723-388955662C36}"/>
              </c:ext>
            </c:extLst>
          </c:dPt>
          <c:cat>
            <c:strRef>
              <c:f>Sheet11!$M$4:$M$6</c:f>
              <c:strCache>
                <c:ptCount val="2"/>
                <c:pt idx="0">
                  <c:v>no</c:v>
                </c:pt>
                <c:pt idx="1">
                  <c:v>yes</c:v>
                </c:pt>
              </c:strCache>
            </c:strRef>
          </c:cat>
          <c:val>
            <c:numRef>
              <c:f>Sheet11!$N$4:$N$6</c:f>
              <c:numCache>
                <c:formatCode>General</c:formatCode>
                <c:ptCount val="2"/>
                <c:pt idx="0">
                  <c:v>85</c:v>
                </c:pt>
                <c:pt idx="1">
                  <c:v>30</c:v>
                </c:pt>
              </c:numCache>
            </c:numRef>
          </c:val>
          <c:extLst>
            <c:ext xmlns:c16="http://schemas.microsoft.com/office/drawing/2014/chart" uri="{C3380CC4-5D6E-409C-BE32-E72D297353CC}">
              <c16:uniqueId val="{00000000-E5C9-4DC1-BE0E-C8BB0CF86170}"/>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(Autosaved).xlsx]regional_Expenditure!Regional_Expenditure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US" b="1">
                <a:latin typeface="Californian FB" panose="0207040306080B030204" pitchFamily="18" charset="0"/>
              </a:rPr>
              <a:t>Regional Healthcare Expenditure</a:t>
            </a:r>
          </a:p>
        </c:rich>
      </c:tx>
      <c:layout>
        <c:manualLayout>
          <c:xMode val="edge"/>
          <c:yMode val="edge"/>
          <c:x val="0.22182633420822398"/>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288692038495191"/>
          <c:y val="0.1890489209682123"/>
          <c:w val="0.60215004374453196"/>
          <c:h val="0.70355169145523477"/>
        </c:manualLayout>
      </c:layout>
      <c:barChart>
        <c:barDir val="bar"/>
        <c:grouping val="clustered"/>
        <c:varyColors val="0"/>
        <c:ser>
          <c:idx val="0"/>
          <c:order val="0"/>
          <c:tx>
            <c:strRef>
              <c:f>regional_Expenditure!$B$3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regional_Expenditure!$A$4:$A$8</c:f>
              <c:strCache>
                <c:ptCount val="4"/>
                <c:pt idx="0">
                  <c:v>northeast</c:v>
                </c:pt>
                <c:pt idx="1">
                  <c:v>northwest</c:v>
                </c:pt>
                <c:pt idx="2">
                  <c:v>southeast</c:v>
                </c:pt>
                <c:pt idx="3">
                  <c:v>southwest</c:v>
                </c:pt>
              </c:strCache>
            </c:strRef>
          </c:cat>
          <c:val>
            <c:numRef>
              <c:f>regional_Expenditure!$B$4:$B$8</c:f>
              <c:numCache>
                <c:formatCode>General</c:formatCode>
                <c:ptCount val="4"/>
                <c:pt idx="0">
                  <c:v>277625.89254999999</c:v>
                </c:pt>
                <c:pt idx="1">
                  <c:v>402482.14219999994</c:v>
                </c:pt>
                <c:pt idx="2">
                  <c:v>472129.5198999999</c:v>
                </c:pt>
                <c:pt idx="3">
                  <c:v>488614.99164999992</c:v>
                </c:pt>
              </c:numCache>
            </c:numRef>
          </c:val>
          <c:extLst>
            <c:ext xmlns:c16="http://schemas.microsoft.com/office/drawing/2014/chart" uri="{C3380CC4-5D6E-409C-BE32-E72D297353CC}">
              <c16:uniqueId val="{00000000-A6E9-4E90-AE54-71FA75F59B19}"/>
            </c:ext>
          </c:extLst>
        </c:ser>
        <c:dLbls>
          <c:dLblPos val="outEnd"/>
          <c:showLegendKey val="0"/>
          <c:showVal val="1"/>
          <c:showCatName val="0"/>
          <c:showSerName val="0"/>
          <c:showPercent val="0"/>
          <c:showBubbleSize val="0"/>
        </c:dLbls>
        <c:gapWidth val="182"/>
        <c:axId val="1365390128"/>
        <c:axId val="1365379728"/>
      </c:barChart>
      <c:catAx>
        <c:axId val="136539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79728"/>
        <c:crosses val="autoZero"/>
        <c:auto val="1"/>
        <c:lblAlgn val="ctr"/>
        <c:lblOffset val="100"/>
        <c:noMultiLvlLbl val="0"/>
      </c:catAx>
      <c:valAx>
        <c:axId val="136537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90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(Autosaved).xlsx]smoker_across_region!PivotTable36</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IN" sz="1200" b="1">
                <a:latin typeface="Californian FB" panose="0207040306080B030204" pitchFamily="18" charset="0"/>
              </a:rPr>
              <a:t>No. of Smokers And Non Smokers Across Regions</a:t>
            </a:r>
          </a:p>
        </c:rich>
      </c:tx>
      <c:layout>
        <c:manualLayout>
          <c:xMode val="edge"/>
          <c:yMode val="edge"/>
          <c:x val="0.22477777777777777"/>
          <c:y val="4.52755905511811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6.6580927384076991E-2"/>
          <c:y val="0.1552989209682123"/>
          <c:w val="0.77591907261592286"/>
          <c:h val="0.64572980460775742"/>
        </c:manualLayout>
      </c:layout>
      <c:barChart>
        <c:barDir val="col"/>
        <c:grouping val="clustered"/>
        <c:varyColors val="0"/>
        <c:ser>
          <c:idx val="0"/>
          <c:order val="0"/>
          <c:tx>
            <c:strRef>
              <c:f>smoker_across_region!$G$3:$G$4</c:f>
              <c:strCache>
                <c:ptCount val="1"/>
                <c:pt idx="0">
                  <c:v>no</c:v>
                </c:pt>
              </c:strCache>
            </c:strRef>
          </c:tx>
          <c:spPr>
            <a:solidFill>
              <a:schemeClr val="accent1"/>
            </a:solidFill>
            <a:ln>
              <a:noFill/>
            </a:ln>
            <a:effectLst/>
          </c:spPr>
          <c:invertIfNegative val="0"/>
          <c:cat>
            <c:strRef>
              <c:f>smoker_across_region!$F$5:$F$9</c:f>
              <c:strCache>
                <c:ptCount val="4"/>
                <c:pt idx="0">
                  <c:v>northeast</c:v>
                </c:pt>
                <c:pt idx="1">
                  <c:v>northwest</c:v>
                </c:pt>
                <c:pt idx="2">
                  <c:v>southeast</c:v>
                </c:pt>
                <c:pt idx="3">
                  <c:v>southwest</c:v>
                </c:pt>
              </c:strCache>
            </c:strRef>
          </c:cat>
          <c:val>
            <c:numRef>
              <c:f>smoker_across_region!$G$5:$G$9</c:f>
              <c:numCache>
                <c:formatCode>General</c:formatCode>
                <c:ptCount val="4"/>
                <c:pt idx="0">
                  <c:v>20</c:v>
                </c:pt>
                <c:pt idx="1">
                  <c:v>27</c:v>
                </c:pt>
                <c:pt idx="2">
                  <c:v>20</c:v>
                </c:pt>
                <c:pt idx="3">
                  <c:v>18</c:v>
                </c:pt>
              </c:numCache>
            </c:numRef>
          </c:val>
          <c:extLst>
            <c:ext xmlns:c16="http://schemas.microsoft.com/office/drawing/2014/chart" uri="{C3380CC4-5D6E-409C-BE32-E72D297353CC}">
              <c16:uniqueId val="{00000000-97B8-4663-8CB4-495794B9F1FC}"/>
            </c:ext>
          </c:extLst>
        </c:ser>
        <c:ser>
          <c:idx val="1"/>
          <c:order val="1"/>
          <c:tx>
            <c:strRef>
              <c:f>smoker_across_region!$H$3:$H$4</c:f>
              <c:strCache>
                <c:ptCount val="1"/>
                <c:pt idx="0">
                  <c:v>yes</c:v>
                </c:pt>
              </c:strCache>
            </c:strRef>
          </c:tx>
          <c:spPr>
            <a:solidFill>
              <a:schemeClr val="accent2"/>
            </a:solidFill>
            <a:ln>
              <a:noFill/>
            </a:ln>
            <a:effectLst/>
          </c:spPr>
          <c:invertIfNegative val="0"/>
          <c:cat>
            <c:strRef>
              <c:f>smoker_across_region!$F$5:$F$9</c:f>
              <c:strCache>
                <c:ptCount val="4"/>
                <c:pt idx="0">
                  <c:v>northeast</c:v>
                </c:pt>
                <c:pt idx="1">
                  <c:v>northwest</c:v>
                </c:pt>
                <c:pt idx="2">
                  <c:v>southeast</c:v>
                </c:pt>
                <c:pt idx="3">
                  <c:v>southwest</c:v>
                </c:pt>
              </c:strCache>
            </c:strRef>
          </c:cat>
          <c:val>
            <c:numRef>
              <c:f>smoker_across_region!$H$5:$H$9</c:f>
              <c:numCache>
                <c:formatCode>General</c:formatCode>
                <c:ptCount val="4"/>
                <c:pt idx="0">
                  <c:v>4</c:v>
                </c:pt>
                <c:pt idx="1">
                  <c:v>5</c:v>
                </c:pt>
                <c:pt idx="2">
                  <c:v>11</c:v>
                </c:pt>
                <c:pt idx="3">
                  <c:v>10</c:v>
                </c:pt>
              </c:numCache>
            </c:numRef>
          </c:val>
          <c:extLst>
            <c:ext xmlns:c16="http://schemas.microsoft.com/office/drawing/2014/chart" uri="{C3380CC4-5D6E-409C-BE32-E72D297353CC}">
              <c16:uniqueId val="{00000001-97B8-4663-8CB4-495794B9F1FC}"/>
            </c:ext>
          </c:extLst>
        </c:ser>
        <c:dLbls>
          <c:showLegendKey val="0"/>
          <c:showVal val="0"/>
          <c:showCatName val="0"/>
          <c:showSerName val="0"/>
          <c:showPercent val="0"/>
          <c:showBubbleSize val="0"/>
        </c:dLbls>
        <c:gapWidth val="219"/>
        <c:overlap val="-27"/>
        <c:axId val="1146862080"/>
        <c:axId val="1146852512"/>
      </c:barChart>
      <c:catAx>
        <c:axId val="114686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52512"/>
        <c:crosses val="autoZero"/>
        <c:auto val="1"/>
        <c:lblAlgn val="ctr"/>
        <c:lblOffset val="100"/>
        <c:noMultiLvlLbl val="0"/>
      </c:catAx>
      <c:valAx>
        <c:axId val="114685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62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(Autosaved).xlsx]average cost!PivotTable39</c:name>
    <c:fmtId val="3"/>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b="1">
                <a:latin typeface="Castellar" panose="020A0402060406010301" pitchFamily="18" charset="0"/>
              </a:rPr>
              <a:t>Facility- wise Average Healthcare costs</a:t>
            </a:r>
            <a:r>
              <a:rPr lang="en-US" sz="1200"/>
              <a:t>	</a:t>
            </a:r>
          </a:p>
        </c:rich>
      </c:tx>
      <c:layout>
        <c:manualLayout>
          <c:xMode val="edge"/>
          <c:yMode val="edge"/>
          <c:x val="0.20736378011127571"/>
          <c:y val="4.0611937064393498E-2"/>
        </c:manualLayout>
      </c:layout>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5919289693966842"/>
          <c:y val="0.20251649861258081"/>
          <c:w val="0.48818964922498936"/>
          <c:h val="0.58989740040349814"/>
        </c:manualLayout>
      </c:layout>
      <c:barChart>
        <c:barDir val="bar"/>
        <c:grouping val="clustered"/>
        <c:varyColors val="0"/>
        <c:ser>
          <c:idx val="0"/>
          <c:order val="0"/>
          <c:tx>
            <c:strRef>
              <c:f>'average cost'!$B$3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'average cost'!$A$4:$A$16</c:f>
              <c:strCache>
                <c:ptCount val="12"/>
                <c:pt idx="0">
                  <c:v>Wangige sub county hospital</c:v>
                </c:pt>
                <c:pt idx="1">
                  <c:v>Kiambu county referral hospital</c:v>
                </c:pt>
                <c:pt idx="2">
                  <c:v>Lel Healthcentre</c:v>
                </c:pt>
                <c:pt idx="3">
                  <c:v>Kakamega county referral hospital</c:v>
                </c:pt>
                <c:pt idx="4">
                  <c:v>Kibra sub county hospital</c:v>
                </c:pt>
                <c:pt idx="5">
                  <c:v>Kajiado county referral hospital</c:v>
                </c:pt>
                <c:pt idx="6">
                  <c:v>Kenyatta University Teaching and Referral Hospital</c:v>
                </c:pt>
                <c:pt idx="7">
                  <c:v>Kenyatta National Hospital</c:v>
                </c:pt>
                <c:pt idx="8">
                  <c:v>Moi Teaching and Referral Hospital</c:v>
                </c:pt>
                <c:pt idx="9">
                  <c:v>Ngara Healthcentre</c:v>
                </c:pt>
                <c:pt idx="10">
                  <c:v>Kibuye Healthcentre</c:v>
                </c:pt>
                <c:pt idx="11">
                  <c:v>Westlands sub county hospital</c:v>
                </c:pt>
              </c:strCache>
            </c:strRef>
          </c:cat>
          <c:val>
            <c:numRef>
              <c:f>'average cost'!$B$4:$B$16</c:f>
              <c:numCache>
                <c:formatCode>General</c:formatCode>
                <c:ptCount val="12"/>
                <c:pt idx="0">
                  <c:v>4589.01998</c:v>
                </c:pt>
                <c:pt idx="1">
                  <c:v>5041.9501999999993</c:v>
                </c:pt>
                <c:pt idx="2">
                  <c:v>11143.239328571426</c:v>
                </c:pt>
                <c:pt idx="3">
                  <c:v>12564.8572575</c:v>
                </c:pt>
                <c:pt idx="4">
                  <c:v>12746.40344</c:v>
                </c:pt>
                <c:pt idx="5">
                  <c:v>14139.497747647059</c:v>
                </c:pt>
                <c:pt idx="6">
                  <c:v>14935.759816153846</c:v>
                </c:pt>
                <c:pt idx="7">
                  <c:v>15001.288005833334</c:v>
                </c:pt>
                <c:pt idx="8">
                  <c:v>15316.768961111109</c:v>
                </c:pt>
                <c:pt idx="9">
                  <c:v>15377.713390000001</c:v>
                </c:pt>
                <c:pt idx="10">
                  <c:v>23477.489439999998</c:v>
                </c:pt>
                <c:pt idx="11">
                  <c:v>25654.610143999998</c:v>
                </c:pt>
              </c:numCache>
            </c:numRef>
          </c:val>
          <c:extLst>
            <c:ext xmlns:c16="http://schemas.microsoft.com/office/drawing/2014/chart" uri="{C3380CC4-5D6E-409C-BE32-E72D297353CC}">
              <c16:uniqueId val="{00000000-4820-4FC8-B416-A891F9D0B379}"/>
            </c:ext>
          </c:extLst>
        </c:ser>
        <c:dLbls>
          <c:dLblPos val="inEnd"/>
          <c:showLegendKey val="0"/>
          <c:showVal val="1"/>
          <c:showCatName val="0"/>
          <c:showSerName val="0"/>
          <c:showPercent val="0"/>
          <c:showBubbleSize val="0"/>
        </c:dLbls>
        <c:gapWidth val="100"/>
        <c:axId val="1158936768"/>
        <c:axId val="1158932608"/>
      </c:barChart>
      <c:catAx>
        <c:axId val="115893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8932608"/>
        <c:crosses val="autoZero"/>
        <c:auto val="1"/>
        <c:lblAlgn val="ctr"/>
        <c:lblOffset val="100"/>
        <c:noMultiLvlLbl val="0"/>
      </c:catAx>
      <c:valAx>
        <c:axId val="1158932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accent5">
                        <a:lumMod val="75000"/>
                      </a:schemeClr>
                    </a:solidFill>
                    <a:latin typeface="Californian FB" panose="0207040306080B030204" pitchFamily="18" charset="0"/>
                    <a:ea typeface="+mn-ea"/>
                    <a:cs typeface="+mn-cs"/>
                  </a:defRPr>
                </a:pPr>
                <a:r>
                  <a:rPr lang="en-IN" b="1">
                    <a:solidFill>
                      <a:schemeClr val="accent5">
                        <a:lumMod val="75000"/>
                      </a:schemeClr>
                    </a:solidFill>
                    <a:latin typeface="Californian FB" panose="0207040306080B030204" pitchFamily="18" charset="0"/>
                  </a:rPr>
                  <a:t>Average Charges</a:t>
                </a:r>
              </a:p>
            </c:rich>
          </c:tx>
          <c:layout>
            <c:manualLayout>
              <c:xMode val="edge"/>
              <c:yMode val="edge"/>
              <c:x val="0.61538912556590863"/>
              <c:y val="0.9141188573303908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accent5">
                      <a:lumMod val="75000"/>
                    </a:schemeClr>
                  </a:solidFill>
                  <a:latin typeface="Californian FB" panose="0207040306080B030204"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8936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tx>
        <cx:rich>
          <a:bodyPr spcFirstLastPara="1" vertOverflow="ellipsis" wrap="square" lIns="0" tIns="0" rIns="0" bIns="0" anchor="ctr" anchorCtr="1"/>
          <a:lstStyle/>
          <a:p>
            <a:pPr algn="ctr">
              <a:defRPr lang="en-US" sz="1000" b="1" i="0" u="none" strike="noStrike" kern="1200" spc="0" baseline="0">
                <a:solidFill>
                  <a:sysClr val="windowText" lastClr="000000">
                    <a:lumMod val="65000"/>
                    <a:lumOff val="35000"/>
                  </a:sysClr>
                </a:solidFill>
                <a:latin typeface="Calibri" panose="020F0502020204030204"/>
              </a:defRPr>
            </a:pPr>
            <a:r>
              <a:rPr lang="en-US" sz="1000" b="1">
                <a:latin typeface="Castellar" panose="020A0402060406010301" pitchFamily="18" charset="0"/>
              </a:rPr>
              <a:t>Patient distribution across healthcare   facilities</a:t>
            </a:r>
          </a:p>
        </cx:rich>
      </cx:tx>
    </cx:title>
    <cx:plotArea>
      <cx:plotAreaRegion>
        <cx:series layoutId="treemap" uniqueId="{F8E8270F-23D4-4821-9E61-7FEDAF7C7055}">
          <cx:dataLabels pos="inEnd">
            <cx:visibility seriesName="0" categoryName="1" value="0"/>
          </cx:dataLabels>
          <cx:dataId val="0"/>
          <cx:layoutPr>
            <cx:parentLabelLayout val="overlapping"/>
          </cx:layoutPr>
        </cx:series>
      </cx:plotAreaRegion>
    </cx:plotArea>
  </cx:chart>
</cx: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[PatientDashboard (Autosaved).xlsx]Sheet11!PivotTable48</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11111111111112E-2"/>
          <c:y val="0.13280234275399821"/>
          <c:w val="0.94106777461783342"/>
          <c:h val="0.81627164298364141"/>
        </c:manualLayout>
      </c:layout>
      <c:pie3DChart>
        <c:varyColors val="1"/>
        <c:ser>
          <c:idx val="0"/>
          <c:order val="0"/>
          <c:tx>
            <c:strRef>
              <c:f>Sheet11!$N$3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79B-4647-974D-7E9157CBF24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79B-4647-974D-7E9157CBF24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579B-4647-974D-7E9157CBF24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579B-4647-974D-7E9157CBF24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Sheet11!$M$4:$M$6</c:f>
              <c:strCache>
                <c:ptCount val="2"/>
                <c:pt idx="0">
                  <c:v>no</c:v>
                </c:pt>
                <c:pt idx="1">
                  <c:v>yes</c:v>
                </c:pt>
              </c:strCache>
            </c:strRef>
          </c:cat>
          <c:val>
            <c:numRef>
              <c:f>Sheet11!$N$4:$N$6</c:f>
              <c:numCache>
                <c:formatCode>General</c:formatCode>
                <c:ptCount val="2"/>
                <c:pt idx="0">
                  <c:v>85</c:v>
                </c:pt>
                <c:pt idx="1">
                  <c:v>30</c:v>
                </c:pt>
              </c:numCache>
            </c:numRef>
          </c:val>
          <c:extLst>
            <c:ext xmlns:c16="http://schemas.microsoft.com/office/drawing/2014/chart" uri="{C3380CC4-5D6E-409C-BE32-E72D297353CC}">
              <c16:uniqueId val="{00000004-579B-4647-974D-7E9157CBF248}"/>
            </c:ext>
          </c:extLst>
        </c:ser>
        <c:dLbls>
          <c:dLblPos val="outEnd"/>
          <c:showLegendKey val="0"/>
          <c:showVal val="0"/>
          <c:showCatName val="1"/>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144780</xdr:colOff>
      <xdr:row>1</xdr:row>
      <xdr:rowOff>175261</xdr:rowOff>
    </xdr:from>
    <xdr:to>
      <xdr:col>10</xdr:col>
      <xdr:colOff>144780</xdr:colOff>
      <xdr:row>6</xdr:row>
      <xdr:rowOff>167640</xdr:rowOff>
    </xdr:to>
    <mc:AlternateContent xmlns:mc="http://schemas.openxmlformats.org/markup-compatibility/2006" xmlns:a14="http://schemas.microsoft.com/office/drawing/2010/main">
      <mc:Choice Requires="a14">
        <xdr:graphicFrame macro="">
          <xdr:nvGraphicFramePr>
            <xdr:cNvPr id="2" name="sex"/>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5570220" y="358141"/>
              <a:ext cx="182880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373380</xdr:colOff>
      <xdr:row>1</xdr:row>
      <xdr:rowOff>160021</xdr:rowOff>
    </xdr:from>
    <xdr:to>
      <xdr:col>20</xdr:col>
      <xdr:colOff>373380</xdr:colOff>
      <xdr:row>9</xdr:row>
      <xdr:rowOff>137161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94820" y="34290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274320</xdr:colOff>
      <xdr:row>1</xdr:row>
      <xdr:rowOff>144780</xdr:rowOff>
    </xdr:from>
    <xdr:to>
      <xdr:col>13</xdr:col>
      <xdr:colOff>554520</xdr:colOff>
      <xdr:row>9</xdr:row>
      <xdr:rowOff>167640</xdr:rowOff>
    </xdr:to>
    <mc:AlternateContent xmlns:mc="http://schemas.openxmlformats.org/markup-compatibility/2006" xmlns:a14="http://schemas.microsoft.com/office/drawing/2010/main">
      <mc:Choice Requires="a14">
        <xdr:graphicFrame macro="">
          <xdr:nvGraphicFramePr>
            <xdr:cNvPr id="4" name="Level"/>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7528560" y="327660"/>
              <a:ext cx="21090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1</xdr:row>
      <xdr:rowOff>144780</xdr:rowOff>
    </xdr:from>
    <xdr:to>
      <xdr:col>17</xdr:col>
      <xdr:colOff>129360</xdr:colOff>
      <xdr:row>9</xdr:row>
      <xdr:rowOff>152399</xdr:rowOff>
    </xdr:to>
    <mc:AlternateContent xmlns:mc="http://schemas.openxmlformats.org/markup-compatibility/2006" xmlns:a14="http://schemas.microsoft.com/office/drawing/2010/main">
      <mc:Choice Requires="a14">
        <xdr:graphicFrame macro="">
          <xdr:nvGraphicFramePr>
            <xdr:cNvPr id="5"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829800" y="327660"/>
              <a:ext cx="18210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10</xdr:row>
      <xdr:rowOff>133350</xdr:rowOff>
    </xdr:from>
    <xdr:to>
      <xdr:col>6</xdr:col>
      <xdr:colOff>213360</xdr:colOff>
      <xdr:row>25</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91440</xdr:colOff>
      <xdr:row>9</xdr:row>
      <xdr:rowOff>152400</xdr:rowOff>
    </xdr:from>
    <xdr:to>
      <xdr:col>15</xdr:col>
      <xdr:colOff>22860</xdr:colOff>
      <xdr:row>23</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xdr:colOff>
      <xdr:row>2</xdr:row>
      <xdr:rowOff>3810</xdr:rowOff>
    </xdr:from>
    <xdr:to>
      <xdr:col>10</xdr:col>
      <xdr:colOff>335280</xdr:colOff>
      <xdr:row>17</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1</xdr:row>
      <xdr:rowOff>11430</xdr:rowOff>
    </xdr:from>
    <xdr:to>
      <xdr:col>12</xdr:col>
      <xdr:colOff>563880</xdr:colOff>
      <xdr:row>16</xdr:row>
      <xdr:rowOff>91440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586740</xdr:colOff>
      <xdr:row>1</xdr:row>
      <xdr:rowOff>41910</xdr:rowOff>
    </xdr:from>
    <xdr:to>
      <xdr:col>13</xdr:col>
      <xdr:colOff>281940</xdr:colOff>
      <xdr:row>16</xdr:row>
      <xdr:rowOff>41910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381000</xdr:colOff>
      <xdr:row>0</xdr:row>
      <xdr:rowOff>133350</xdr:rowOff>
    </xdr:from>
    <xdr:to>
      <xdr:col>11</xdr:col>
      <xdr:colOff>76200</xdr:colOff>
      <xdr:row>15</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56443</xdr:colOff>
      <xdr:row>3</xdr:row>
      <xdr:rowOff>2843</xdr:rowOff>
    </xdr:from>
    <xdr:to>
      <xdr:col>3</xdr:col>
      <xdr:colOff>526814</xdr:colOff>
      <xdr:row>7</xdr:row>
      <xdr:rowOff>225778</xdr:rowOff>
    </xdr:to>
    <mc:AlternateContent xmlns:mc="http://schemas.openxmlformats.org/markup-compatibility/2006" xmlns:a14="http://schemas.microsoft.com/office/drawing/2010/main">
      <mc:Choice Requires="a14">
        <xdr:graphicFrame macro="">
          <xdr:nvGraphicFramePr>
            <xdr:cNvPr id="2" name="sex 1"/>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56443" y="585549"/>
              <a:ext cx="2285724" cy="1141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94074</xdr:colOff>
      <xdr:row>8</xdr:row>
      <xdr:rowOff>213635</xdr:rowOff>
    </xdr:from>
    <xdr:to>
      <xdr:col>3</xdr:col>
      <xdr:colOff>489186</xdr:colOff>
      <xdr:row>16</xdr:row>
      <xdr:rowOff>47037</xdr:rowOff>
    </xdr:to>
    <mc:AlternateContent xmlns:mc="http://schemas.openxmlformats.org/markup-compatibility/2006" xmlns:a14="http://schemas.microsoft.com/office/drawing/2010/main">
      <mc:Choice Requires="a14">
        <xdr:graphicFrame macro="">
          <xdr:nvGraphicFramePr>
            <xdr:cNvPr id="3" name="Level 1"/>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94074" y="1961753"/>
              <a:ext cx="2210465" cy="1794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56446</xdr:colOff>
      <xdr:row>17</xdr:row>
      <xdr:rowOff>18817</xdr:rowOff>
    </xdr:from>
    <xdr:to>
      <xdr:col>3</xdr:col>
      <xdr:colOff>466324</xdr:colOff>
      <xdr:row>24</xdr:row>
      <xdr:rowOff>122296</xdr:rowOff>
    </xdr:to>
    <mc:AlternateContent xmlns:mc="http://schemas.openxmlformats.org/markup-compatibility/2006" xmlns:a14="http://schemas.microsoft.com/office/drawing/2010/main">
      <mc:Choice Requires="a14">
        <xdr:graphicFrame macro="">
          <xdr:nvGraphicFramePr>
            <xdr:cNvPr id="4" name="Weight Status 1"/>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56446" y="3996905"/>
              <a:ext cx="2225231" cy="1761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65851</xdr:colOff>
      <xdr:row>25</xdr:row>
      <xdr:rowOff>56444</xdr:rowOff>
    </xdr:from>
    <xdr:to>
      <xdr:col>3</xdr:col>
      <xdr:colOff>486778</xdr:colOff>
      <xdr:row>34</xdr:row>
      <xdr:rowOff>18813</xdr:rowOff>
    </xdr:to>
    <mc:AlternateContent xmlns:mc="http://schemas.openxmlformats.org/markup-compatibility/2006" xmlns:a14="http://schemas.microsoft.com/office/drawing/2010/main">
      <mc:Choice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851" y="5939532"/>
              <a:ext cx="2236280" cy="1643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604346</xdr:colOff>
      <xdr:row>21</xdr:row>
      <xdr:rowOff>70070</xdr:rowOff>
    </xdr:from>
    <xdr:to>
      <xdr:col>11</xdr:col>
      <xdr:colOff>192690</xdr:colOff>
      <xdr:row>34</xdr:row>
      <xdr:rowOff>140139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604345</xdr:colOff>
      <xdr:row>6</xdr:row>
      <xdr:rowOff>105103</xdr:rowOff>
    </xdr:from>
    <xdr:to>
      <xdr:col>11</xdr:col>
      <xdr:colOff>201449</xdr:colOff>
      <xdr:row>20</xdr:row>
      <xdr:rowOff>166413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299357</xdr:colOff>
      <xdr:row>21</xdr:row>
      <xdr:rowOff>105833</xdr:rowOff>
    </xdr:from>
    <xdr:to>
      <xdr:col>23</xdr:col>
      <xdr:colOff>518583</xdr:colOff>
      <xdr:row>34</xdr:row>
      <xdr:rowOff>117926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308428</xdr:colOff>
      <xdr:row>6</xdr:row>
      <xdr:rowOff>130628</xdr:rowOff>
    </xdr:from>
    <xdr:to>
      <xdr:col>23</xdr:col>
      <xdr:colOff>511630</xdr:colOff>
      <xdr:row>21</xdr:row>
      <xdr:rowOff>14243</xdr:rowOff>
    </xdr:to>
    <mc:AlternateContent xmlns:mc="http://schemas.openxmlformats.org/markup-compatibility/2006">
      <mc:Choice xmlns:cx="http://schemas.microsoft.com/office/drawing/2014/chartex" Requires="cx">
        <xdr:graphicFrame macro="">
          <xdr:nvGraphicFramePr>
            <xdr:cNvPr id="13" name="Chart 1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340603</xdr:colOff>
      <xdr:row>6</xdr:row>
      <xdr:rowOff>179293</xdr:rowOff>
    </xdr:from>
    <xdr:to>
      <xdr:col>16</xdr:col>
      <xdr:colOff>168089</xdr:colOff>
      <xdr:row>20</xdr:row>
      <xdr:rowOff>190500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174.43963148148" createdVersion="6" refreshedVersion="6" minRefreshableVersion="3" recordCount="116">
  <cacheSource type="worksheet">
    <worksheetSource ref="A1:K1048576" sheet="DATA"/>
  </cacheSource>
  <cacheFields count="11">
    <cacheField name="Patient_ID" numFmtId="0">
      <sharedItems containsString="0" containsBlank="1" containsNumber="1" containsInteger="1" minValue="2" maxValue="299"/>
    </cacheField>
    <cacheField name="age" numFmtId="0">
      <sharedItems containsString="0" containsBlank="1" containsNumber="1" containsInteger="1" minValue="18" maxValue="64"/>
    </cacheField>
    <cacheField name="sex" numFmtId="0">
      <sharedItems containsBlank="1" count="3">
        <s v="female"/>
        <s v="male"/>
        <m/>
      </sharedItems>
    </cacheField>
    <cacheField name="bmi" numFmtId="0">
      <sharedItems containsString="0" containsBlank="1" containsNumber="1" minValue="17.385000000000002" maxValue="42.13"/>
    </cacheField>
    <cacheField name="children" numFmtId="0">
      <sharedItems containsString="0" containsBlank="1" containsNumber="1" containsInteger="1" minValue="0" maxValue="5"/>
    </cacheField>
    <cacheField name="smoker" numFmtId="0">
      <sharedItems containsBlank="1" count="3">
        <s v="yes"/>
        <s v="no"/>
        <m/>
      </sharedItems>
    </cacheField>
    <cacheField name="region" numFmtId="0">
      <sharedItems containsBlank="1" count="5">
        <s v="southwest"/>
        <s v="southeast"/>
        <s v="northwest"/>
        <s v="northeast"/>
        <m/>
      </sharedItems>
    </cacheField>
    <cacheField name="charges" numFmtId="0">
      <sharedItems containsString="0" containsBlank="1" containsNumber="1" minValue="1137.011" maxValue="51194.559139999998"/>
    </cacheField>
    <cacheField name="Facility" numFmtId="0">
      <sharedItems containsBlank="1" count="13">
        <s v="Kenyatta National Hospital"/>
        <s v="Kiambu county referral hospital"/>
        <s v="Kenyatta University Teaching and Referral Hospital"/>
        <s v="Kajiado county referral hospital"/>
        <s v="Kakamega county referral hospital"/>
        <s v="Moi Teaching and Referral Hospital"/>
        <s v="Wangige sub county hospital"/>
        <s v="Westlands sub county hospital"/>
        <s v="Kibra sub county hospital"/>
        <s v="Ngara Healthcentre"/>
        <s v="Kibuye Healthcentre"/>
        <s v="Lel Healthcentre"/>
        <m/>
      </sharedItems>
    </cacheField>
    <cacheField name="Level" numFmtId="0">
      <sharedItems containsBlank="1" count="5">
        <s v="National Referral Hospitals"/>
        <s v="County Referral Hospitals"/>
        <s v="County Hospitals"/>
        <s v="Health Centres"/>
        <m/>
      </sharedItems>
    </cacheField>
    <cacheField name="Weight Status" numFmtId="0">
      <sharedItems containsBlank="1" count="5">
        <s v="Overweight"/>
        <s v="Obese"/>
        <s v="Healthy"/>
        <s v="Underweight"/>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74.443152662039" createdVersion="6" refreshedVersion="6" minRefreshableVersion="3" recordCount="115">
  <cacheSource type="worksheet">
    <worksheetSource name="Table1"/>
  </cacheSource>
  <cacheFields count="11">
    <cacheField name="Patient_ID" numFmtId="0">
      <sharedItems containsSemiMixedTypes="0" containsString="0" containsNumber="1" containsInteger="1" minValue="2" maxValue="299"/>
    </cacheField>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7.385000000000002" maxValue="42.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164">
      <sharedItems containsSemiMixedTypes="0" containsString="0" containsNumber="1" minValue="1137.011" maxValue="51194.559139999998"/>
    </cacheField>
    <cacheField name="Facility" numFmtId="0">
      <sharedItems count="12">
        <s v="Kenyatta National Hospital"/>
        <s v="Kiambu county referral hospital"/>
        <s v="Kenyatta University Teaching and Referral Hospital"/>
        <s v="Kajiado county referral hospital"/>
        <s v="Kakamega county referral hospital"/>
        <s v="Moi Teaching and Referral Hospital"/>
        <s v="Wangige sub county hospital"/>
        <s v="Westlands sub county hospital"/>
        <s v="Kibra sub county hospital"/>
        <s v="Ngara Healthcentre"/>
        <s v="Kibuye Healthcentre"/>
        <s v="Lel Healthcentre"/>
      </sharedItems>
    </cacheField>
    <cacheField name="Level" numFmtId="0">
      <sharedItems/>
    </cacheField>
    <cacheField name="Weight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6">
  <r>
    <n v="209"/>
    <n v="19"/>
    <x v="0"/>
    <n v="27.9"/>
    <n v="0"/>
    <x v="0"/>
    <x v="0"/>
    <n v="16884.923999999999"/>
    <x v="0"/>
    <x v="0"/>
    <x v="0"/>
  </r>
  <r>
    <n v="69"/>
    <n v="18"/>
    <x v="1"/>
    <n v="33.770000000000003"/>
    <n v="1"/>
    <x v="1"/>
    <x v="1"/>
    <n v="1725.5523000000001"/>
    <x v="1"/>
    <x v="1"/>
    <x v="1"/>
  </r>
  <r>
    <n v="16"/>
    <n v="28"/>
    <x v="1"/>
    <n v="33"/>
    <n v="3"/>
    <x v="1"/>
    <x v="1"/>
    <n v="4449.4620000000004"/>
    <x v="2"/>
    <x v="0"/>
    <x v="1"/>
  </r>
  <r>
    <n v="218"/>
    <n v="33"/>
    <x v="1"/>
    <n v="22.704999999999998"/>
    <n v="0"/>
    <x v="1"/>
    <x v="2"/>
    <n v="21984.47061"/>
    <x v="3"/>
    <x v="1"/>
    <x v="2"/>
  </r>
  <r>
    <n v="39"/>
    <n v="32"/>
    <x v="1"/>
    <n v="28.88"/>
    <n v="0"/>
    <x v="1"/>
    <x v="2"/>
    <n v="3866.8552"/>
    <x v="4"/>
    <x v="1"/>
    <x v="0"/>
  </r>
  <r>
    <n v="36"/>
    <n v="31"/>
    <x v="0"/>
    <n v="25.74"/>
    <n v="0"/>
    <x v="1"/>
    <x v="1"/>
    <n v="3756.6215999999999"/>
    <x v="0"/>
    <x v="0"/>
    <x v="0"/>
  </r>
  <r>
    <n v="262"/>
    <n v="46"/>
    <x v="0"/>
    <n v="33.44"/>
    <n v="1"/>
    <x v="1"/>
    <x v="1"/>
    <n v="8240.5895999999993"/>
    <x v="0"/>
    <x v="0"/>
    <x v="1"/>
  </r>
  <r>
    <n v="177"/>
    <n v="37"/>
    <x v="0"/>
    <n v="27.74"/>
    <n v="3"/>
    <x v="1"/>
    <x v="2"/>
    <n v="7281.5056000000004"/>
    <x v="5"/>
    <x v="0"/>
    <x v="0"/>
  </r>
  <r>
    <n v="42"/>
    <n v="37"/>
    <x v="1"/>
    <n v="29.83"/>
    <n v="2"/>
    <x v="1"/>
    <x v="3"/>
    <n v="6406.4107000000004"/>
    <x v="6"/>
    <x v="2"/>
    <x v="0"/>
  </r>
  <r>
    <n v="231"/>
    <n v="60"/>
    <x v="0"/>
    <n v="25.84"/>
    <n v="0"/>
    <x v="1"/>
    <x v="2"/>
    <n v="28923.136920000001"/>
    <x v="7"/>
    <x v="2"/>
    <x v="0"/>
  </r>
  <r>
    <n v="11"/>
    <n v="25"/>
    <x v="1"/>
    <n v="26.22"/>
    <n v="0"/>
    <x v="1"/>
    <x v="3"/>
    <n v="2721.3208"/>
    <x v="8"/>
    <x v="2"/>
    <x v="0"/>
  </r>
  <r>
    <n v="292"/>
    <n v="62"/>
    <x v="0"/>
    <n v="26.29"/>
    <n v="0"/>
    <x v="0"/>
    <x v="1"/>
    <n v="27808.7251"/>
    <x v="9"/>
    <x v="3"/>
    <x v="0"/>
  </r>
  <r>
    <n v="24"/>
    <n v="23"/>
    <x v="1"/>
    <n v="34.4"/>
    <n v="0"/>
    <x v="1"/>
    <x v="0"/>
    <n v="1826.8430000000001"/>
    <x v="10"/>
    <x v="3"/>
    <x v="1"/>
  </r>
  <r>
    <n v="280"/>
    <n v="56"/>
    <x v="0"/>
    <n v="39.82"/>
    <n v="0"/>
    <x v="1"/>
    <x v="1"/>
    <n v="11090.7178"/>
    <x v="11"/>
    <x v="3"/>
    <x v="1"/>
  </r>
  <r>
    <n v="289"/>
    <n v="27"/>
    <x v="1"/>
    <n v="42.13"/>
    <n v="0"/>
    <x v="0"/>
    <x v="1"/>
    <n v="39611.757700000002"/>
    <x v="2"/>
    <x v="0"/>
    <x v="1"/>
  </r>
  <r>
    <n v="22"/>
    <n v="19"/>
    <x v="1"/>
    <n v="24.6"/>
    <n v="1"/>
    <x v="1"/>
    <x v="0"/>
    <n v="1837.2370000000001"/>
    <x v="3"/>
    <x v="1"/>
    <x v="2"/>
  </r>
  <r>
    <n v="203"/>
    <n v="52"/>
    <x v="0"/>
    <n v="30.78"/>
    <n v="1"/>
    <x v="1"/>
    <x v="3"/>
    <n v="10797.3362"/>
    <x v="4"/>
    <x v="1"/>
    <x v="1"/>
  </r>
  <r>
    <n v="185"/>
    <n v="23"/>
    <x v="1"/>
    <n v="23.844999999999999"/>
    <n v="0"/>
    <x v="1"/>
    <x v="3"/>
    <n v="2395.17155"/>
    <x v="4"/>
    <x v="1"/>
    <x v="2"/>
  </r>
  <r>
    <n v="53"/>
    <n v="56"/>
    <x v="1"/>
    <n v="40.299999999999997"/>
    <n v="0"/>
    <x v="1"/>
    <x v="0"/>
    <n v="10602.385"/>
    <x v="0"/>
    <x v="0"/>
    <x v="1"/>
  </r>
  <r>
    <n v="258"/>
    <n v="30"/>
    <x v="1"/>
    <n v="35.299999999999997"/>
    <n v="0"/>
    <x v="0"/>
    <x v="0"/>
    <n v="36837.466999999997"/>
    <x v="0"/>
    <x v="0"/>
    <x v="1"/>
  </r>
  <r>
    <n v="289"/>
    <n v="60"/>
    <x v="0"/>
    <n v="36.005000000000003"/>
    <n v="0"/>
    <x v="1"/>
    <x v="3"/>
    <n v="13228.846949999999"/>
    <x v="5"/>
    <x v="0"/>
    <x v="1"/>
  </r>
  <r>
    <n v="214"/>
    <n v="30"/>
    <x v="0"/>
    <n v="32.4"/>
    <n v="1"/>
    <x v="1"/>
    <x v="0"/>
    <n v="4149.7359999999999"/>
    <x v="6"/>
    <x v="2"/>
    <x v="1"/>
  </r>
  <r>
    <n v="184"/>
    <n v="18"/>
    <x v="1"/>
    <n v="34.1"/>
    <n v="0"/>
    <x v="1"/>
    <x v="1"/>
    <n v="1137.011"/>
    <x v="7"/>
    <x v="2"/>
    <x v="1"/>
  </r>
  <r>
    <n v="144"/>
    <n v="34"/>
    <x v="0"/>
    <n v="31.92"/>
    <n v="1"/>
    <x v="0"/>
    <x v="3"/>
    <n v="37701.876799999998"/>
    <x v="3"/>
    <x v="1"/>
    <x v="1"/>
  </r>
  <r>
    <n v="15"/>
    <n v="37"/>
    <x v="1"/>
    <n v="28.024999999999999"/>
    <n v="2"/>
    <x v="1"/>
    <x v="2"/>
    <n v="6203.90175"/>
    <x v="4"/>
    <x v="1"/>
    <x v="0"/>
  </r>
  <r>
    <n v="299"/>
    <n v="59"/>
    <x v="0"/>
    <n v="27.72"/>
    <n v="3"/>
    <x v="1"/>
    <x v="1"/>
    <n v="14001.1338"/>
    <x v="0"/>
    <x v="0"/>
    <x v="0"/>
  </r>
  <r>
    <n v="160"/>
    <n v="63"/>
    <x v="0"/>
    <n v="23.085000000000001"/>
    <n v="0"/>
    <x v="1"/>
    <x v="3"/>
    <n v="14451.835150000001"/>
    <x v="0"/>
    <x v="0"/>
    <x v="2"/>
  </r>
  <r>
    <n v="11"/>
    <n v="55"/>
    <x v="0"/>
    <n v="32.774999999999999"/>
    <n v="2"/>
    <x v="1"/>
    <x v="2"/>
    <n v="12268.632250000001"/>
    <x v="8"/>
    <x v="2"/>
    <x v="1"/>
  </r>
  <r>
    <n v="217"/>
    <n v="23"/>
    <x v="1"/>
    <n v="17.385000000000002"/>
    <n v="1"/>
    <x v="1"/>
    <x v="2"/>
    <n v="2775.1921499999999"/>
    <x v="9"/>
    <x v="3"/>
    <x v="3"/>
  </r>
  <r>
    <n v="127"/>
    <n v="31"/>
    <x v="1"/>
    <n v="36.299999999999997"/>
    <n v="2"/>
    <x v="0"/>
    <x v="0"/>
    <n v="38711"/>
    <x v="10"/>
    <x v="3"/>
    <x v="1"/>
  </r>
  <r>
    <n v="30"/>
    <n v="22"/>
    <x v="1"/>
    <n v="35.6"/>
    <n v="0"/>
    <x v="0"/>
    <x v="0"/>
    <n v="35585.576000000001"/>
    <x v="11"/>
    <x v="3"/>
    <x v="1"/>
  </r>
  <r>
    <n v="31"/>
    <n v="18"/>
    <x v="0"/>
    <n v="26.315000000000001"/>
    <n v="0"/>
    <x v="1"/>
    <x v="3"/>
    <n v="2198.1898500000002"/>
    <x v="2"/>
    <x v="0"/>
    <x v="0"/>
  </r>
  <r>
    <n v="16"/>
    <n v="19"/>
    <x v="0"/>
    <n v="28.6"/>
    <n v="5"/>
    <x v="1"/>
    <x v="0"/>
    <n v="4687.7969999999996"/>
    <x v="3"/>
    <x v="1"/>
    <x v="0"/>
  </r>
  <r>
    <n v="3"/>
    <n v="63"/>
    <x v="1"/>
    <n v="28.31"/>
    <n v="0"/>
    <x v="1"/>
    <x v="2"/>
    <n v="13770.097900000001"/>
    <x v="4"/>
    <x v="1"/>
    <x v="0"/>
  </r>
  <r>
    <n v="281"/>
    <n v="28"/>
    <x v="1"/>
    <n v="36.4"/>
    <n v="1"/>
    <x v="0"/>
    <x v="0"/>
    <n v="51194.559139999998"/>
    <x v="0"/>
    <x v="0"/>
    <x v="1"/>
  </r>
  <r>
    <n v="17"/>
    <n v="19"/>
    <x v="1"/>
    <n v="20.425000000000001"/>
    <n v="0"/>
    <x v="1"/>
    <x v="2"/>
    <n v="1625.4337499999999"/>
    <x v="0"/>
    <x v="0"/>
    <x v="2"/>
  </r>
  <r>
    <n v="296"/>
    <n v="62"/>
    <x v="0"/>
    <n v="32.965000000000003"/>
    <n v="3"/>
    <x v="1"/>
    <x v="2"/>
    <n v="15612.19335"/>
    <x v="5"/>
    <x v="0"/>
    <x v="1"/>
  </r>
  <r>
    <n v="237"/>
    <n v="26"/>
    <x v="1"/>
    <n v="20.8"/>
    <n v="0"/>
    <x v="1"/>
    <x v="0"/>
    <n v="2302.3000000000002"/>
    <x v="6"/>
    <x v="2"/>
    <x v="2"/>
  </r>
  <r>
    <n v="101"/>
    <n v="35"/>
    <x v="1"/>
    <n v="36.67"/>
    <n v="1"/>
    <x v="0"/>
    <x v="3"/>
    <n v="39774.276299999998"/>
    <x v="7"/>
    <x v="2"/>
    <x v="1"/>
  </r>
  <r>
    <n v="238"/>
    <n v="60"/>
    <x v="1"/>
    <n v="39.9"/>
    <n v="0"/>
    <x v="0"/>
    <x v="0"/>
    <n v="48173.360999999997"/>
    <x v="0"/>
    <x v="0"/>
    <x v="1"/>
  </r>
  <r>
    <n v="199"/>
    <n v="24"/>
    <x v="0"/>
    <n v="26.6"/>
    <n v="0"/>
    <x v="1"/>
    <x v="3"/>
    <n v="3046.0619999999999"/>
    <x v="0"/>
    <x v="0"/>
    <x v="0"/>
  </r>
  <r>
    <n v="25"/>
    <n v="31"/>
    <x v="0"/>
    <n v="36.630000000000003"/>
    <n v="2"/>
    <x v="1"/>
    <x v="1"/>
    <n v="4949.7587000000003"/>
    <x v="8"/>
    <x v="2"/>
    <x v="1"/>
  </r>
  <r>
    <n v="9"/>
    <n v="41"/>
    <x v="1"/>
    <n v="21.78"/>
    <n v="1"/>
    <x v="1"/>
    <x v="1"/>
    <n v="6272.4772000000003"/>
    <x v="9"/>
    <x v="3"/>
    <x v="2"/>
  </r>
  <r>
    <n v="53"/>
    <n v="37"/>
    <x v="0"/>
    <n v="30.8"/>
    <n v="2"/>
    <x v="1"/>
    <x v="1"/>
    <n v="6313.759"/>
    <x v="10"/>
    <x v="3"/>
    <x v="1"/>
  </r>
  <r>
    <n v="123"/>
    <n v="38"/>
    <x v="1"/>
    <n v="37.049999999999997"/>
    <n v="1"/>
    <x v="1"/>
    <x v="3"/>
    <n v="6079.6715000000004"/>
    <x v="11"/>
    <x v="3"/>
    <x v="1"/>
  </r>
  <r>
    <n v="182"/>
    <n v="55"/>
    <x v="1"/>
    <n v="37.299999999999997"/>
    <n v="0"/>
    <x v="1"/>
    <x v="0"/>
    <n v="20630.283510000001"/>
    <x v="2"/>
    <x v="0"/>
    <x v="1"/>
  </r>
  <r>
    <n v="2"/>
    <n v="18"/>
    <x v="0"/>
    <n v="38.664999999999999"/>
    <n v="2"/>
    <x v="1"/>
    <x v="3"/>
    <n v="3393.35635"/>
    <x v="3"/>
    <x v="1"/>
    <x v="1"/>
  </r>
  <r>
    <n v="109"/>
    <n v="28"/>
    <x v="0"/>
    <n v="34.770000000000003"/>
    <n v="0"/>
    <x v="1"/>
    <x v="2"/>
    <n v="3556.9223000000002"/>
    <x v="4"/>
    <x v="1"/>
    <x v="1"/>
  </r>
  <r>
    <n v="208"/>
    <n v="60"/>
    <x v="0"/>
    <n v="24.53"/>
    <n v="0"/>
    <x v="1"/>
    <x v="1"/>
    <n v="12629.896699999999"/>
    <x v="2"/>
    <x v="0"/>
    <x v="2"/>
  </r>
  <r>
    <n v="145"/>
    <n v="36"/>
    <x v="1"/>
    <n v="35.200000000000003"/>
    <n v="1"/>
    <x v="0"/>
    <x v="1"/>
    <n v="38709.175999999999"/>
    <x v="3"/>
    <x v="1"/>
    <x v="1"/>
  </r>
  <r>
    <n v="256"/>
    <n v="18"/>
    <x v="0"/>
    <n v="35.625"/>
    <n v="0"/>
    <x v="1"/>
    <x v="3"/>
    <n v="2211.1307499999998"/>
    <x v="4"/>
    <x v="1"/>
    <x v="1"/>
  </r>
  <r>
    <n v="250"/>
    <n v="21"/>
    <x v="0"/>
    <n v="33.630000000000003"/>
    <n v="2"/>
    <x v="1"/>
    <x v="2"/>
    <n v="3579.8287"/>
    <x v="0"/>
    <x v="0"/>
    <x v="1"/>
  </r>
  <r>
    <n v="220"/>
    <n v="48"/>
    <x v="1"/>
    <n v="28"/>
    <n v="1"/>
    <x v="0"/>
    <x v="0"/>
    <n v="23568.272000000001"/>
    <x v="0"/>
    <x v="0"/>
    <x v="0"/>
  </r>
  <r>
    <n v="291"/>
    <n v="36"/>
    <x v="1"/>
    <n v="34.43"/>
    <n v="0"/>
    <x v="0"/>
    <x v="1"/>
    <n v="37742.575700000001"/>
    <x v="5"/>
    <x v="0"/>
    <x v="1"/>
  </r>
  <r>
    <n v="285"/>
    <n v="40"/>
    <x v="0"/>
    <n v="28.69"/>
    <n v="3"/>
    <x v="1"/>
    <x v="2"/>
    <n v="8059.6791000000003"/>
    <x v="6"/>
    <x v="2"/>
    <x v="0"/>
  </r>
  <r>
    <n v="116"/>
    <n v="58"/>
    <x v="1"/>
    <n v="36.954999999999998"/>
    <n v="2"/>
    <x v="0"/>
    <x v="2"/>
    <n v="47496.494449999998"/>
    <x v="7"/>
    <x v="2"/>
    <x v="1"/>
  </r>
  <r>
    <n v="70"/>
    <n v="58"/>
    <x v="0"/>
    <n v="31.824999999999999"/>
    <n v="2"/>
    <x v="1"/>
    <x v="3"/>
    <n v="13607.36875"/>
    <x v="8"/>
    <x v="2"/>
    <x v="1"/>
  </r>
  <r>
    <n v="40"/>
    <n v="18"/>
    <x v="1"/>
    <n v="31.68"/>
    <n v="2"/>
    <x v="0"/>
    <x v="1"/>
    <n v="34303.167200000004"/>
    <x v="9"/>
    <x v="3"/>
    <x v="1"/>
  </r>
  <r>
    <n v="203"/>
    <n v="53"/>
    <x v="0"/>
    <n v="22.88"/>
    <n v="1"/>
    <x v="0"/>
    <x v="1"/>
    <n v="23244.790199999999"/>
    <x v="10"/>
    <x v="3"/>
    <x v="2"/>
  </r>
  <r>
    <n v="15"/>
    <n v="34"/>
    <x v="0"/>
    <n v="37.335000000000001"/>
    <n v="2"/>
    <x v="1"/>
    <x v="2"/>
    <n v="5989.5236500000001"/>
    <x v="11"/>
    <x v="3"/>
    <x v="1"/>
  </r>
  <r>
    <n v="131"/>
    <n v="43"/>
    <x v="1"/>
    <n v="27.36"/>
    <n v="3"/>
    <x v="1"/>
    <x v="3"/>
    <n v="8606.2173999999995"/>
    <x v="2"/>
    <x v="0"/>
    <x v="0"/>
  </r>
  <r>
    <n v="112"/>
    <n v="25"/>
    <x v="1"/>
    <n v="33.659999999999997"/>
    <n v="4"/>
    <x v="1"/>
    <x v="1"/>
    <n v="4504.6624000000002"/>
    <x v="3"/>
    <x v="1"/>
    <x v="1"/>
  </r>
  <r>
    <n v="193"/>
    <n v="64"/>
    <x v="1"/>
    <n v="24.7"/>
    <n v="1"/>
    <x v="1"/>
    <x v="2"/>
    <n v="30166.618170000002"/>
    <x v="4"/>
    <x v="1"/>
    <x v="2"/>
  </r>
  <r>
    <n v="292"/>
    <n v="28"/>
    <x v="0"/>
    <n v="25.934999999999999"/>
    <n v="1"/>
    <x v="1"/>
    <x v="2"/>
    <n v="4133.6416499999996"/>
    <x v="11"/>
    <x v="3"/>
    <x v="0"/>
  </r>
  <r>
    <n v="58"/>
    <n v="20"/>
    <x v="0"/>
    <n v="22.42"/>
    <n v="0"/>
    <x v="0"/>
    <x v="2"/>
    <n v="14711.7438"/>
    <x v="2"/>
    <x v="0"/>
    <x v="2"/>
  </r>
  <r>
    <n v="296"/>
    <n v="19"/>
    <x v="0"/>
    <n v="28.9"/>
    <n v="0"/>
    <x v="1"/>
    <x v="0"/>
    <n v="1743.2139999999999"/>
    <x v="3"/>
    <x v="1"/>
    <x v="0"/>
  </r>
  <r>
    <n v="169"/>
    <n v="61"/>
    <x v="0"/>
    <n v="39.1"/>
    <n v="2"/>
    <x v="1"/>
    <x v="0"/>
    <n v="14235.072"/>
    <x v="4"/>
    <x v="1"/>
    <x v="1"/>
  </r>
  <r>
    <n v="71"/>
    <n v="40"/>
    <x v="1"/>
    <n v="26.315000000000001"/>
    <n v="1"/>
    <x v="1"/>
    <x v="2"/>
    <n v="6389.3778499999999"/>
    <x v="2"/>
    <x v="0"/>
    <x v="0"/>
  </r>
  <r>
    <n v="85"/>
    <n v="40"/>
    <x v="0"/>
    <n v="36.19"/>
    <n v="0"/>
    <x v="1"/>
    <x v="1"/>
    <n v="5920.1040999999996"/>
    <x v="3"/>
    <x v="1"/>
    <x v="1"/>
  </r>
  <r>
    <n v="96"/>
    <n v="28"/>
    <x v="1"/>
    <n v="23.98"/>
    <n v="3"/>
    <x v="0"/>
    <x v="1"/>
    <n v="17663.144199999999"/>
    <x v="4"/>
    <x v="1"/>
    <x v="2"/>
  </r>
  <r>
    <n v="180"/>
    <n v="27"/>
    <x v="0"/>
    <n v="24.75"/>
    <n v="0"/>
    <x v="0"/>
    <x v="1"/>
    <n v="16577.779500000001"/>
    <x v="0"/>
    <x v="0"/>
    <x v="2"/>
  </r>
  <r>
    <n v="197"/>
    <n v="31"/>
    <x v="1"/>
    <n v="28.5"/>
    <n v="5"/>
    <x v="1"/>
    <x v="3"/>
    <n v="6799.4579999999996"/>
    <x v="0"/>
    <x v="0"/>
    <x v="0"/>
  </r>
  <r>
    <n v="161"/>
    <n v="53"/>
    <x v="0"/>
    <n v="28.1"/>
    <n v="3"/>
    <x v="1"/>
    <x v="0"/>
    <n v="11741.726000000001"/>
    <x v="5"/>
    <x v="0"/>
    <x v="0"/>
  </r>
  <r>
    <n v="9"/>
    <n v="58"/>
    <x v="1"/>
    <n v="32.01"/>
    <n v="1"/>
    <x v="1"/>
    <x v="1"/>
    <n v="11946.625899999999"/>
    <x v="3"/>
    <x v="1"/>
    <x v="1"/>
  </r>
  <r>
    <n v="261"/>
    <n v="44"/>
    <x v="1"/>
    <n v="27.4"/>
    <n v="2"/>
    <x v="1"/>
    <x v="0"/>
    <n v="7726.8540000000003"/>
    <x v="4"/>
    <x v="1"/>
    <x v="0"/>
  </r>
  <r>
    <n v="137"/>
    <n v="57"/>
    <x v="1"/>
    <n v="34.01"/>
    <n v="0"/>
    <x v="1"/>
    <x v="2"/>
    <n v="11356.660900000001"/>
    <x v="11"/>
    <x v="3"/>
    <x v="1"/>
  </r>
  <r>
    <n v="252"/>
    <n v="29"/>
    <x v="0"/>
    <n v="29.59"/>
    <n v="1"/>
    <x v="1"/>
    <x v="1"/>
    <n v="3947.4131000000002"/>
    <x v="2"/>
    <x v="0"/>
    <x v="0"/>
  </r>
  <r>
    <n v="191"/>
    <n v="21"/>
    <x v="1"/>
    <n v="35.53"/>
    <n v="0"/>
    <x v="1"/>
    <x v="1"/>
    <n v="1532.4697000000001"/>
    <x v="3"/>
    <x v="1"/>
    <x v="1"/>
  </r>
  <r>
    <n v="58"/>
    <n v="22"/>
    <x v="0"/>
    <n v="39.805"/>
    <n v="0"/>
    <x v="1"/>
    <x v="3"/>
    <n v="2755.0209500000001"/>
    <x v="4"/>
    <x v="1"/>
    <x v="1"/>
  </r>
  <r>
    <n v="113"/>
    <n v="41"/>
    <x v="0"/>
    <n v="32.965000000000003"/>
    <n v="0"/>
    <x v="1"/>
    <x v="2"/>
    <n v="6571.0243499999997"/>
    <x v="0"/>
    <x v="0"/>
    <x v="1"/>
  </r>
  <r>
    <n v="83"/>
    <n v="31"/>
    <x v="1"/>
    <n v="26.885000000000002"/>
    <n v="1"/>
    <x v="1"/>
    <x v="3"/>
    <n v="4441.2131499999996"/>
    <x v="0"/>
    <x v="0"/>
    <x v="0"/>
  </r>
  <r>
    <n v="22"/>
    <n v="45"/>
    <x v="0"/>
    <n v="38.284999999999997"/>
    <n v="0"/>
    <x v="1"/>
    <x v="3"/>
    <n v="7935.29115"/>
    <x v="5"/>
    <x v="0"/>
    <x v="1"/>
  </r>
  <r>
    <n v="62"/>
    <n v="22"/>
    <x v="1"/>
    <n v="37.619999999999997"/>
    <n v="1"/>
    <x v="0"/>
    <x v="1"/>
    <n v="37165.163800000002"/>
    <x v="3"/>
    <x v="1"/>
    <x v="1"/>
  </r>
  <r>
    <n v="85"/>
    <n v="48"/>
    <x v="0"/>
    <n v="41.23"/>
    <n v="4"/>
    <x v="1"/>
    <x v="2"/>
    <n v="11033.661700000001"/>
    <x v="1"/>
    <x v="1"/>
    <x v="1"/>
  </r>
  <r>
    <n v="18"/>
    <n v="37"/>
    <x v="0"/>
    <n v="34.799999999999997"/>
    <n v="2"/>
    <x v="0"/>
    <x v="0"/>
    <n v="39836.519"/>
    <x v="2"/>
    <x v="0"/>
    <x v="1"/>
  </r>
  <r>
    <n v="183"/>
    <n v="45"/>
    <x v="1"/>
    <n v="22.895"/>
    <n v="2"/>
    <x v="0"/>
    <x v="2"/>
    <n v="21098.554049999999"/>
    <x v="3"/>
    <x v="1"/>
    <x v="2"/>
  </r>
  <r>
    <n v="125"/>
    <n v="57"/>
    <x v="0"/>
    <n v="31.16"/>
    <n v="0"/>
    <x v="0"/>
    <x v="2"/>
    <n v="43578.939400000003"/>
    <x v="4"/>
    <x v="1"/>
    <x v="1"/>
  </r>
  <r>
    <n v="235"/>
    <n v="56"/>
    <x v="0"/>
    <n v="27.2"/>
    <n v="0"/>
    <x v="1"/>
    <x v="0"/>
    <n v="11073.175999999999"/>
    <x v="0"/>
    <x v="0"/>
    <x v="0"/>
  </r>
  <r>
    <n v="83"/>
    <n v="46"/>
    <x v="0"/>
    <n v="27.74"/>
    <n v="0"/>
    <x v="1"/>
    <x v="2"/>
    <n v="8026.6665999999996"/>
    <x v="0"/>
    <x v="0"/>
    <x v="0"/>
  </r>
  <r>
    <n v="89"/>
    <n v="55"/>
    <x v="0"/>
    <n v="26.98"/>
    <n v="0"/>
    <x v="1"/>
    <x v="2"/>
    <n v="11082.5772"/>
    <x v="5"/>
    <x v="0"/>
    <x v="0"/>
  </r>
  <r>
    <n v="123"/>
    <n v="21"/>
    <x v="0"/>
    <n v="39.49"/>
    <n v="0"/>
    <x v="1"/>
    <x v="1"/>
    <n v="2026.9740999999999"/>
    <x v="6"/>
    <x v="2"/>
    <x v="1"/>
  </r>
  <r>
    <n v="155"/>
    <n v="53"/>
    <x v="0"/>
    <n v="24.795000000000002"/>
    <n v="1"/>
    <x v="1"/>
    <x v="2"/>
    <n v="10942.13205"/>
    <x v="7"/>
    <x v="2"/>
    <x v="2"/>
  </r>
  <r>
    <n v="191"/>
    <n v="59"/>
    <x v="1"/>
    <n v="29.83"/>
    <n v="3"/>
    <x v="0"/>
    <x v="3"/>
    <n v="30184.936699999998"/>
    <x v="8"/>
    <x v="2"/>
    <x v="0"/>
  </r>
  <r>
    <n v="276"/>
    <n v="35"/>
    <x v="1"/>
    <n v="34.770000000000003"/>
    <n v="2"/>
    <x v="1"/>
    <x v="2"/>
    <n v="5729.0052999999998"/>
    <x v="9"/>
    <x v="3"/>
    <x v="1"/>
  </r>
  <r>
    <n v="147"/>
    <n v="64"/>
    <x v="0"/>
    <n v="31.3"/>
    <n v="2"/>
    <x v="0"/>
    <x v="0"/>
    <n v="47291.055"/>
    <x v="10"/>
    <x v="3"/>
    <x v="1"/>
  </r>
  <r>
    <n v="64"/>
    <n v="28"/>
    <x v="0"/>
    <n v="37.619999999999997"/>
    <n v="1"/>
    <x v="1"/>
    <x v="1"/>
    <n v="3766.8838000000001"/>
    <x v="11"/>
    <x v="3"/>
    <x v="1"/>
  </r>
  <r>
    <n v="279"/>
    <n v="54"/>
    <x v="0"/>
    <n v="30.8"/>
    <n v="3"/>
    <x v="1"/>
    <x v="0"/>
    <n v="12105.32"/>
    <x v="2"/>
    <x v="0"/>
    <x v="1"/>
  </r>
  <r>
    <n v="62"/>
    <n v="55"/>
    <x v="1"/>
    <n v="38.28"/>
    <n v="0"/>
    <x v="1"/>
    <x v="1"/>
    <n v="10226.2842"/>
    <x v="3"/>
    <x v="1"/>
    <x v="1"/>
  </r>
  <r>
    <n v="48"/>
    <n v="56"/>
    <x v="1"/>
    <n v="19.95"/>
    <n v="0"/>
    <x v="0"/>
    <x v="3"/>
    <n v="22412.648499999999"/>
    <x v="4"/>
    <x v="1"/>
    <x v="2"/>
  </r>
  <r>
    <n v="175"/>
    <n v="38"/>
    <x v="1"/>
    <n v="19.3"/>
    <n v="0"/>
    <x v="0"/>
    <x v="0"/>
    <n v="15820.699000000001"/>
    <x v="4"/>
    <x v="1"/>
    <x v="2"/>
  </r>
  <r>
    <n v="285"/>
    <n v="41"/>
    <x v="0"/>
    <n v="31.6"/>
    <n v="0"/>
    <x v="1"/>
    <x v="0"/>
    <n v="6186.1270000000004"/>
    <x v="0"/>
    <x v="0"/>
    <x v="1"/>
  </r>
  <r>
    <n v="95"/>
    <n v="30"/>
    <x v="1"/>
    <n v="25.46"/>
    <n v="0"/>
    <x v="1"/>
    <x v="3"/>
    <n v="3645.0893999999998"/>
    <x v="0"/>
    <x v="0"/>
    <x v="0"/>
  </r>
  <r>
    <n v="271"/>
    <n v="18"/>
    <x v="0"/>
    <n v="30.114999999999998"/>
    <n v="0"/>
    <x v="1"/>
    <x v="3"/>
    <n v="21344.846699999998"/>
    <x v="5"/>
    <x v="0"/>
    <x v="1"/>
  </r>
  <r>
    <n v="285"/>
    <n v="61"/>
    <x v="0"/>
    <n v="29.92"/>
    <n v="3"/>
    <x v="0"/>
    <x v="1"/>
    <n v="30942.191800000001"/>
    <x v="3"/>
    <x v="1"/>
    <x v="1"/>
  </r>
  <r>
    <n v="47"/>
    <n v="34"/>
    <x v="0"/>
    <n v="27.5"/>
    <n v="1"/>
    <x v="1"/>
    <x v="0"/>
    <n v="5003.8530000000001"/>
    <x v="1"/>
    <x v="1"/>
    <x v="0"/>
  </r>
  <r>
    <n v="267"/>
    <n v="20"/>
    <x v="1"/>
    <n v="28.024999999999999"/>
    <n v="1"/>
    <x v="0"/>
    <x v="2"/>
    <n v="17560.37975"/>
    <x v="2"/>
    <x v="0"/>
    <x v="0"/>
  </r>
  <r>
    <n v="206"/>
    <n v="19"/>
    <x v="0"/>
    <n v="28.4"/>
    <n v="1"/>
    <x v="1"/>
    <x v="0"/>
    <n v="2331.5189999999998"/>
    <x v="3"/>
    <x v="1"/>
    <x v="0"/>
  </r>
  <r>
    <n v="279"/>
    <n v="26"/>
    <x v="1"/>
    <n v="30.875"/>
    <n v="2"/>
    <x v="1"/>
    <x v="2"/>
    <n v="3877.3042500000001"/>
    <x v="4"/>
    <x v="1"/>
    <x v="1"/>
  </r>
  <r>
    <n v="189"/>
    <n v="29"/>
    <x v="1"/>
    <n v="27.94"/>
    <n v="0"/>
    <x v="1"/>
    <x v="1"/>
    <n v="2867.1196"/>
    <x v="0"/>
    <x v="0"/>
    <x v="0"/>
  </r>
  <r>
    <n v="48"/>
    <n v="63"/>
    <x v="1"/>
    <n v="35.090000000000003"/>
    <n v="0"/>
    <x v="0"/>
    <x v="1"/>
    <n v="47055.532099999997"/>
    <x v="0"/>
    <x v="0"/>
    <x v="1"/>
  </r>
  <r>
    <n v="34"/>
    <n v="54"/>
    <x v="1"/>
    <n v="33.630000000000003"/>
    <n v="1"/>
    <x v="1"/>
    <x v="2"/>
    <n v="10825.253699999999"/>
    <x v="0"/>
    <x v="0"/>
    <x v="1"/>
  </r>
  <r>
    <n v="34"/>
    <n v="55"/>
    <x v="0"/>
    <n v="29.7"/>
    <n v="2"/>
    <x v="1"/>
    <x v="0"/>
    <n v="11881.358"/>
    <x v="5"/>
    <x v="0"/>
    <x v="0"/>
  </r>
  <r>
    <n v="201"/>
    <n v="37"/>
    <x v="1"/>
    <n v="30.8"/>
    <n v="0"/>
    <x v="1"/>
    <x v="0"/>
    <n v="4646.759"/>
    <x v="3"/>
    <x v="1"/>
    <x v="1"/>
  </r>
  <r>
    <n v="156"/>
    <n v="21"/>
    <x v="0"/>
    <n v="35.72"/>
    <n v="0"/>
    <x v="1"/>
    <x v="2"/>
    <n v="2404.7338"/>
    <x v="1"/>
    <x v="1"/>
    <x v="1"/>
  </r>
  <r>
    <n v="65"/>
    <n v="52"/>
    <x v="1"/>
    <n v="32.204999999999998"/>
    <n v="3"/>
    <x v="1"/>
    <x v="3"/>
    <n v="11488.31695"/>
    <x v="2"/>
    <x v="0"/>
    <x v="1"/>
  </r>
  <r>
    <m/>
    <m/>
    <x v="2"/>
    <m/>
    <m/>
    <x v="2"/>
    <x v="4"/>
    <m/>
    <x v="12"/>
    <x v="4"/>
    <x v="4"/>
  </r>
</pivotCacheRecords>
</file>

<file path=xl/pivotCache/pivotCacheRecords2.xml><?xml version="1.0" encoding="utf-8"?>
<pivotCacheRecords xmlns="http://schemas.openxmlformats.org/spreadsheetml/2006/main" xmlns:r="http://schemas.openxmlformats.org/officeDocument/2006/relationships" count="115">
  <r>
    <n v="209"/>
    <n v="19"/>
    <x v="0"/>
    <n v="27.9"/>
    <n v="0"/>
    <x v="0"/>
    <x v="0"/>
    <n v="16884.923999999999"/>
    <x v="0"/>
    <s v="National Referral Hospitals"/>
    <s v="Overweight"/>
  </r>
  <r>
    <n v="69"/>
    <n v="18"/>
    <x v="1"/>
    <n v="33.770000000000003"/>
    <n v="1"/>
    <x v="1"/>
    <x v="1"/>
    <n v="1725.5523000000001"/>
    <x v="1"/>
    <s v="County Referral Hospitals"/>
    <s v="Obese"/>
  </r>
  <r>
    <n v="16"/>
    <n v="28"/>
    <x v="1"/>
    <n v="33"/>
    <n v="3"/>
    <x v="1"/>
    <x v="1"/>
    <n v="4449.4620000000004"/>
    <x v="2"/>
    <s v="National Referral Hospitals"/>
    <s v="Obese"/>
  </r>
  <r>
    <n v="218"/>
    <n v="33"/>
    <x v="1"/>
    <n v="22.704999999999998"/>
    <n v="0"/>
    <x v="1"/>
    <x v="2"/>
    <n v="21984.47061"/>
    <x v="3"/>
    <s v="County Referral Hospitals"/>
    <s v="Healthy"/>
  </r>
  <r>
    <n v="39"/>
    <n v="32"/>
    <x v="1"/>
    <n v="28.88"/>
    <n v="0"/>
    <x v="1"/>
    <x v="2"/>
    <n v="3866.8552"/>
    <x v="4"/>
    <s v="County Referral Hospitals"/>
    <s v="Overweight"/>
  </r>
  <r>
    <n v="36"/>
    <n v="31"/>
    <x v="0"/>
    <n v="25.74"/>
    <n v="0"/>
    <x v="1"/>
    <x v="1"/>
    <n v="3756.6215999999999"/>
    <x v="0"/>
    <s v="National Referral Hospitals"/>
    <s v="Overweight"/>
  </r>
  <r>
    <n v="262"/>
    <n v="46"/>
    <x v="0"/>
    <n v="33.44"/>
    <n v="1"/>
    <x v="1"/>
    <x v="1"/>
    <n v="8240.5895999999993"/>
    <x v="0"/>
    <s v="National Referral Hospitals"/>
    <s v="Obese"/>
  </r>
  <r>
    <n v="177"/>
    <n v="37"/>
    <x v="0"/>
    <n v="27.74"/>
    <n v="3"/>
    <x v="1"/>
    <x v="2"/>
    <n v="7281.5056000000004"/>
    <x v="5"/>
    <s v="National Referral Hospitals"/>
    <s v="Overweight"/>
  </r>
  <r>
    <n v="42"/>
    <n v="37"/>
    <x v="1"/>
    <n v="29.83"/>
    <n v="2"/>
    <x v="1"/>
    <x v="3"/>
    <n v="6406.4107000000004"/>
    <x v="6"/>
    <s v="County Hospitals"/>
    <s v="Overweight"/>
  </r>
  <r>
    <n v="231"/>
    <n v="60"/>
    <x v="0"/>
    <n v="25.84"/>
    <n v="0"/>
    <x v="1"/>
    <x v="2"/>
    <n v="28923.136920000001"/>
    <x v="7"/>
    <s v="County Hospitals"/>
    <s v="Overweight"/>
  </r>
  <r>
    <n v="11"/>
    <n v="25"/>
    <x v="1"/>
    <n v="26.22"/>
    <n v="0"/>
    <x v="1"/>
    <x v="3"/>
    <n v="2721.3208"/>
    <x v="8"/>
    <s v="County Hospitals"/>
    <s v="Overweight"/>
  </r>
  <r>
    <n v="292"/>
    <n v="62"/>
    <x v="0"/>
    <n v="26.29"/>
    <n v="0"/>
    <x v="0"/>
    <x v="1"/>
    <n v="27808.7251"/>
    <x v="9"/>
    <s v="Health Centres"/>
    <s v="Overweight"/>
  </r>
  <r>
    <n v="24"/>
    <n v="23"/>
    <x v="1"/>
    <n v="34.4"/>
    <n v="0"/>
    <x v="1"/>
    <x v="0"/>
    <n v="1826.8430000000001"/>
    <x v="10"/>
    <s v="Health Centres"/>
    <s v="Obese"/>
  </r>
  <r>
    <n v="280"/>
    <n v="56"/>
    <x v="0"/>
    <n v="39.82"/>
    <n v="0"/>
    <x v="1"/>
    <x v="1"/>
    <n v="11090.7178"/>
    <x v="11"/>
    <s v="Health Centres"/>
    <s v="Obese"/>
  </r>
  <r>
    <n v="289"/>
    <n v="27"/>
    <x v="1"/>
    <n v="42.13"/>
    <n v="0"/>
    <x v="0"/>
    <x v="1"/>
    <n v="39611.757700000002"/>
    <x v="2"/>
    <s v="National Referral Hospitals"/>
    <s v="Obese"/>
  </r>
  <r>
    <n v="22"/>
    <n v="19"/>
    <x v="1"/>
    <n v="24.6"/>
    <n v="1"/>
    <x v="1"/>
    <x v="0"/>
    <n v="1837.2370000000001"/>
    <x v="3"/>
    <s v="County Referral Hospitals"/>
    <s v="Healthy"/>
  </r>
  <r>
    <n v="203"/>
    <n v="52"/>
    <x v="0"/>
    <n v="30.78"/>
    <n v="1"/>
    <x v="1"/>
    <x v="3"/>
    <n v="10797.3362"/>
    <x v="4"/>
    <s v="County Referral Hospitals"/>
    <s v="Obese"/>
  </r>
  <r>
    <n v="185"/>
    <n v="23"/>
    <x v="1"/>
    <n v="23.844999999999999"/>
    <n v="0"/>
    <x v="1"/>
    <x v="3"/>
    <n v="2395.17155"/>
    <x v="4"/>
    <s v="County Referral Hospitals"/>
    <s v="Healthy"/>
  </r>
  <r>
    <n v="53"/>
    <n v="56"/>
    <x v="1"/>
    <n v="40.299999999999997"/>
    <n v="0"/>
    <x v="1"/>
    <x v="0"/>
    <n v="10602.385"/>
    <x v="0"/>
    <s v="National Referral Hospitals"/>
    <s v="Obese"/>
  </r>
  <r>
    <n v="258"/>
    <n v="30"/>
    <x v="1"/>
    <n v="35.299999999999997"/>
    <n v="0"/>
    <x v="0"/>
    <x v="0"/>
    <n v="36837.466999999997"/>
    <x v="0"/>
    <s v="National Referral Hospitals"/>
    <s v="Obese"/>
  </r>
  <r>
    <n v="289"/>
    <n v="60"/>
    <x v="0"/>
    <n v="36.005000000000003"/>
    <n v="0"/>
    <x v="1"/>
    <x v="3"/>
    <n v="13228.846949999999"/>
    <x v="5"/>
    <s v="National Referral Hospitals"/>
    <s v="Obese"/>
  </r>
  <r>
    <n v="214"/>
    <n v="30"/>
    <x v="0"/>
    <n v="32.4"/>
    <n v="1"/>
    <x v="1"/>
    <x v="0"/>
    <n v="4149.7359999999999"/>
    <x v="6"/>
    <s v="County Hospitals"/>
    <s v="Obese"/>
  </r>
  <r>
    <n v="184"/>
    <n v="18"/>
    <x v="1"/>
    <n v="34.1"/>
    <n v="0"/>
    <x v="1"/>
    <x v="1"/>
    <n v="1137.011"/>
    <x v="7"/>
    <s v="County Hospitals"/>
    <s v="Obese"/>
  </r>
  <r>
    <n v="144"/>
    <n v="34"/>
    <x v="0"/>
    <n v="31.92"/>
    <n v="1"/>
    <x v="0"/>
    <x v="3"/>
    <n v="37701.876799999998"/>
    <x v="3"/>
    <s v="County Referral Hospitals"/>
    <s v="Obese"/>
  </r>
  <r>
    <n v="15"/>
    <n v="37"/>
    <x v="1"/>
    <n v="28.024999999999999"/>
    <n v="2"/>
    <x v="1"/>
    <x v="2"/>
    <n v="6203.90175"/>
    <x v="4"/>
    <s v="County Referral Hospitals"/>
    <s v="Overweight"/>
  </r>
  <r>
    <n v="299"/>
    <n v="59"/>
    <x v="0"/>
    <n v="27.72"/>
    <n v="3"/>
    <x v="1"/>
    <x v="1"/>
    <n v="14001.1338"/>
    <x v="0"/>
    <s v="National Referral Hospitals"/>
    <s v="Overweight"/>
  </r>
  <r>
    <n v="160"/>
    <n v="63"/>
    <x v="0"/>
    <n v="23.085000000000001"/>
    <n v="0"/>
    <x v="1"/>
    <x v="3"/>
    <n v="14451.835150000001"/>
    <x v="0"/>
    <s v="National Referral Hospitals"/>
    <s v="Healthy"/>
  </r>
  <r>
    <n v="11"/>
    <n v="55"/>
    <x v="0"/>
    <n v="32.774999999999999"/>
    <n v="2"/>
    <x v="1"/>
    <x v="2"/>
    <n v="12268.632250000001"/>
    <x v="8"/>
    <s v="County Hospitals"/>
    <s v="Obese"/>
  </r>
  <r>
    <n v="217"/>
    <n v="23"/>
    <x v="1"/>
    <n v="17.385000000000002"/>
    <n v="1"/>
    <x v="1"/>
    <x v="2"/>
    <n v="2775.1921499999999"/>
    <x v="9"/>
    <s v="Health Centres"/>
    <s v="Underweight"/>
  </r>
  <r>
    <n v="127"/>
    <n v="31"/>
    <x v="1"/>
    <n v="36.299999999999997"/>
    <n v="2"/>
    <x v="0"/>
    <x v="0"/>
    <n v="38711"/>
    <x v="10"/>
    <s v="Health Centres"/>
    <s v="Obese"/>
  </r>
  <r>
    <n v="30"/>
    <n v="22"/>
    <x v="1"/>
    <n v="35.6"/>
    <n v="0"/>
    <x v="0"/>
    <x v="0"/>
    <n v="35585.576000000001"/>
    <x v="11"/>
    <s v="Health Centres"/>
    <s v="Obese"/>
  </r>
  <r>
    <n v="31"/>
    <n v="18"/>
    <x v="0"/>
    <n v="26.315000000000001"/>
    <n v="0"/>
    <x v="1"/>
    <x v="3"/>
    <n v="2198.1898500000002"/>
    <x v="2"/>
    <s v="National Referral Hospitals"/>
    <s v="Overweight"/>
  </r>
  <r>
    <n v="16"/>
    <n v="19"/>
    <x v="0"/>
    <n v="28.6"/>
    <n v="5"/>
    <x v="1"/>
    <x v="0"/>
    <n v="4687.7969999999996"/>
    <x v="3"/>
    <s v="County Referral Hospitals"/>
    <s v="Overweight"/>
  </r>
  <r>
    <n v="3"/>
    <n v="63"/>
    <x v="1"/>
    <n v="28.31"/>
    <n v="0"/>
    <x v="1"/>
    <x v="2"/>
    <n v="13770.097900000001"/>
    <x v="4"/>
    <s v="County Referral Hospitals"/>
    <s v="Overweight"/>
  </r>
  <r>
    <n v="281"/>
    <n v="28"/>
    <x v="1"/>
    <n v="36.4"/>
    <n v="1"/>
    <x v="0"/>
    <x v="0"/>
    <n v="51194.559139999998"/>
    <x v="0"/>
    <s v="National Referral Hospitals"/>
    <s v="Obese"/>
  </r>
  <r>
    <n v="17"/>
    <n v="19"/>
    <x v="1"/>
    <n v="20.425000000000001"/>
    <n v="0"/>
    <x v="1"/>
    <x v="2"/>
    <n v="1625.4337499999999"/>
    <x v="0"/>
    <s v="National Referral Hospitals"/>
    <s v="Healthy"/>
  </r>
  <r>
    <n v="296"/>
    <n v="62"/>
    <x v="0"/>
    <n v="32.965000000000003"/>
    <n v="3"/>
    <x v="1"/>
    <x v="2"/>
    <n v="15612.19335"/>
    <x v="5"/>
    <s v="National Referral Hospitals"/>
    <s v="Obese"/>
  </r>
  <r>
    <n v="237"/>
    <n v="26"/>
    <x v="1"/>
    <n v="20.8"/>
    <n v="0"/>
    <x v="1"/>
    <x v="0"/>
    <n v="2302.3000000000002"/>
    <x v="6"/>
    <s v="County Hospitals"/>
    <s v="Healthy"/>
  </r>
  <r>
    <n v="101"/>
    <n v="35"/>
    <x v="1"/>
    <n v="36.67"/>
    <n v="1"/>
    <x v="0"/>
    <x v="3"/>
    <n v="39774.276299999998"/>
    <x v="7"/>
    <s v="County Hospitals"/>
    <s v="Obese"/>
  </r>
  <r>
    <n v="238"/>
    <n v="60"/>
    <x v="1"/>
    <n v="39.9"/>
    <n v="0"/>
    <x v="0"/>
    <x v="0"/>
    <n v="48173.360999999997"/>
    <x v="0"/>
    <s v="National Referral Hospitals"/>
    <s v="Obese"/>
  </r>
  <r>
    <n v="199"/>
    <n v="24"/>
    <x v="0"/>
    <n v="26.6"/>
    <n v="0"/>
    <x v="1"/>
    <x v="3"/>
    <n v="3046.0619999999999"/>
    <x v="0"/>
    <s v="National Referral Hospitals"/>
    <s v="Overweight"/>
  </r>
  <r>
    <n v="25"/>
    <n v="31"/>
    <x v="0"/>
    <n v="36.630000000000003"/>
    <n v="2"/>
    <x v="1"/>
    <x v="1"/>
    <n v="4949.7587000000003"/>
    <x v="8"/>
    <s v="County Hospitals"/>
    <s v="Obese"/>
  </r>
  <r>
    <n v="9"/>
    <n v="41"/>
    <x v="1"/>
    <n v="21.78"/>
    <n v="1"/>
    <x v="1"/>
    <x v="1"/>
    <n v="6272.4772000000003"/>
    <x v="9"/>
    <s v="Health Centres"/>
    <s v="Healthy"/>
  </r>
  <r>
    <n v="53"/>
    <n v="37"/>
    <x v="0"/>
    <n v="30.8"/>
    <n v="2"/>
    <x v="1"/>
    <x v="1"/>
    <n v="6313.759"/>
    <x v="10"/>
    <s v="Health Centres"/>
    <s v="Obese"/>
  </r>
  <r>
    <n v="123"/>
    <n v="38"/>
    <x v="1"/>
    <n v="37.049999999999997"/>
    <n v="1"/>
    <x v="1"/>
    <x v="3"/>
    <n v="6079.6715000000004"/>
    <x v="11"/>
    <s v="Health Centres"/>
    <s v="Obese"/>
  </r>
  <r>
    <n v="182"/>
    <n v="55"/>
    <x v="1"/>
    <n v="37.299999999999997"/>
    <n v="0"/>
    <x v="1"/>
    <x v="0"/>
    <n v="20630.283510000001"/>
    <x v="2"/>
    <s v="National Referral Hospitals"/>
    <s v="Obese"/>
  </r>
  <r>
    <n v="2"/>
    <n v="18"/>
    <x v="0"/>
    <n v="38.664999999999999"/>
    <n v="2"/>
    <x v="1"/>
    <x v="3"/>
    <n v="3393.35635"/>
    <x v="3"/>
    <s v="County Referral Hospitals"/>
    <s v="Obese"/>
  </r>
  <r>
    <n v="109"/>
    <n v="28"/>
    <x v="0"/>
    <n v="34.770000000000003"/>
    <n v="0"/>
    <x v="1"/>
    <x v="2"/>
    <n v="3556.9223000000002"/>
    <x v="4"/>
    <s v="County Referral Hospitals"/>
    <s v="Obese"/>
  </r>
  <r>
    <n v="208"/>
    <n v="60"/>
    <x v="0"/>
    <n v="24.53"/>
    <n v="0"/>
    <x v="1"/>
    <x v="1"/>
    <n v="12629.896699999999"/>
    <x v="2"/>
    <s v="National Referral Hospitals"/>
    <s v="Healthy"/>
  </r>
  <r>
    <n v="145"/>
    <n v="36"/>
    <x v="1"/>
    <n v="35.200000000000003"/>
    <n v="1"/>
    <x v="0"/>
    <x v="1"/>
    <n v="38709.175999999999"/>
    <x v="3"/>
    <s v="County Referral Hospitals"/>
    <s v="Obese"/>
  </r>
  <r>
    <n v="256"/>
    <n v="18"/>
    <x v="0"/>
    <n v="35.625"/>
    <n v="0"/>
    <x v="1"/>
    <x v="3"/>
    <n v="2211.1307499999998"/>
    <x v="4"/>
    <s v="County Referral Hospitals"/>
    <s v="Obese"/>
  </r>
  <r>
    <n v="250"/>
    <n v="21"/>
    <x v="0"/>
    <n v="33.630000000000003"/>
    <n v="2"/>
    <x v="1"/>
    <x v="2"/>
    <n v="3579.8287"/>
    <x v="0"/>
    <s v="National Referral Hospitals"/>
    <s v="Obese"/>
  </r>
  <r>
    <n v="220"/>
    <n v="48"/>
    <x v="1"/>
    <n v="28"/>
    <n v="1"/>
    <x v="0"/>
    <x v="0"/>
    <n v="23568.272000000001"/>
    <x v="0"/>
    <s v="National Referral Hospitals"/>
    <s v="Overweight"/>
  </r>
  <r>
    <n v="291"/>
    <n v="36"/>
    <x v="1"/>
    <n v="34.43"/>
    <n v="0"/>
    <x v="0"/>
    <x v="1"/>
    <n v="37742.575700000001"/>
    <x v="5"/>
    <s v="National Referral Hospitals"/>
    <s v="Obese"/>
  </r>
  <r>
    <n v="285"/>
    <n v="40"/>
    <x v="0"/>
    <n v="28.69"/>
    <n v="3"/>
    <x v="1"/>
    <x v="2"/>
    <n v="8059.6791000000003"/>
    <x v="6"/>
    <s v="County Hospitals"/>
    <s v="Overweight"/>
  </r>
  <r>
    <n v="116"/>
    <n v="58"/>
    <x v="1"/>
    <n v="36.954999999999998"/>
    <n v="2"/>
    <x v="0"/>
    <x v="2"/>
    <n v="47496.494449999998"/>
    <x v="7"/>
    <s v="County Hospitals"/>
    <s v="Obese"/>
  </r>
  <r>
    <n v="70"/>
    <n v="58"/>
    <x v="0"/>
    <n v="31.824999999999999"/>
    <n v="2"/>
    <x v="1"/>
    <x v="3"/>
    <n v="13607.36875"/>
    <x v="8"/>
    <s v="County Hospitals"/>
    <s v="Obese"/>
  </r>
  <r>
    <n v="40"/>
    <n v="18"/>
    <x v="1"/>
    <n v="31.68"/>
    <n v="2"/>
    <x v="0"/>
    <x v="1"/>
    <n v="34303.167200000004"/>
    <x v="9"/>
    <s v="Health Centres"/>
    <s v="Obese"/>
  </r>
  <r>
    <n v="203"/>
    <n v="53"/>
    <x v="0"/>
    <n v="22.88"/>
    <n v="1"/>
    <x v="0"/>
    <x v="1"/>
    <n v="23244.790199999999"/>
    <x v="10"/>
    <s v="Health Centres"/>
    <s v="Healthy"/>
  </r>
  <r>
    <n v="15"/>
    <n v="34"/>
    <x v="0"/>
    <n v="37.335000000000001"/>
    <n v="2"/>
    <x v="1"/>
    <x v="2"/>
    <n v="5989.5236500000001"/>
    <x v="11"/>
    <s v="Health Centres"/>
    <s v="Obese"/>
  </r>
  <r>
    <n v="131"/>
    <n v="43"/>
    <x v="1"/>
    <n v="27.36"/>
    <n v="3"/>
    <x v="1"/>
    <x v="3"/>
    <n v="8606.2173999999995"/>
    <x v="2"/>
    <s v="National Referral Hospitals"/>
    <s v="Overweight"/>
  </r>
  <r>
    <n v="112"/>
    <n v="25"/>
    <x v="1"/>
    <n v="33.659999999999997"/>
    <n v="4"/>
    <x v="1"/>
    <x v="1"/>
    <n v="4504.6624000000002"/>
    <x v="3"/>
    <s v="County Referral Hospitals"/>
    <s v="Obese"/>
  </r>
  <r>
    <n v="193"/>
    <n v="64"/>
    <x v="1"/>
    <n v="24.7"/>
    <n v="1"/>
    <x v="1"/>
    <x v="2"/>
    <n v="30166.618170000002"/>
    <x v="4"/>
    <s v="County Referral Hospitals"/>
    <s v="Healthy"/>
  </r>
  <r>
    <n v="292"/>
    <n v="28"/>
    <x v="0"/>
    <n v="25.934999999999999"/>
    <n v="1"/>
    <x v="1"/>
    <x v="2"/>
    <n v="4133.6416499999996"/>
    <x v="11"/>
    <s v="Health Centres"/>
    <s v="Overweight"/>
  </r>
  <r>
    <n v="58"/>
    <n v="20"/>
    <x v="0"/>
    <n v="22.42"/>
    <n v="0"/>
    <x v="0"/>
    <x v="2"/>
    <n v="14711.7438"/>
    <x v="2"/>
    <s v="National Referral Hospitals"/>
    <s v="Healthy"/>
  </r>
  <r>
    <n v="296"/>
    <n v="19"/>
    <x v="0"/>
    <n v="28.9"/>
    <n v="0"/>
    <x v="1"/>
    <x v="0"/>
    <n v="1743.2139999999999"/>
    <x v="3"/>
    <s v="County Referral Hospitals"/>
    <s v="Overweight"/>
  </r>
  <r>
    <n v="169"/>
    <n v="61"/>
    <x v="0"/>
    <n v="39.1"/>
    <n v="2"/>
    <x v="1"/>
    <x v="0"/>
    <n v="14235.072"/>
    <x v="4"/>
    <s v="County Referral Hospitals"/>
    <s v="Obese"/>
  </r>
  <r>
    <n v="71"/>
    <n v="40"/>
    <x v="1"/>
    <n v="26.315000000000001"/>
    <n v="1"/>
    <x v="1"/>
    <x v="2"/>
    <n v="6389.3778499999999"/>
    <x v="2"/>
    <s v="National Referral Hospitals"/>
    <s v="Overweight"/>
  </r>
  <r>
    <n v="85"/>
    <n v="40"/>
    <x v="0"/>
    <n v="36.19"/>
    <n v="0"/>
    <x v="1"/>
    <x v="1"/>
    <n v="5920.1040999999996"/>
    <x v="3"/>
    <s v="County Referral Hospitals"/>
    <s v="Obese"/>
  </r>
  <r>
    <n v="96"/>
    <n v="28"/>
    <x v="1"/>
    <n v="23.98"/>
    <n v="3"/>
    <x v="0"/>
    <x v="1"/>
    <n v="17663.144199999999"/>
    <x v="4"/>
    <s v="County Referral Hospitals"/>
    <s v="Healthy"/>
  </r>
  <r>
    <n v="180"/>
    <n v="27"/>
    <x v="0"/>
    <n v="24.75"/>
    <n v="0"/>
    <x v="0"/>
    <x v="1"/>
    <n v="16577.779500000001"/>
    <x v="0"/>
    <s v="National Referral Hospitals"/>
    <s v="Healthy"/>
  </r>
  <r>
    <n v="197"/>
    <n v="31"/>
    <x v="1"/>
    <n v="28.5"/>
    <n v="5"/>
    <x v="1"/>
    <x v="3"/>
    <n v="6799.4579999999996"/>
    <x v="0"/>
    <s v="National Referral Hospitals"/>
    <s v="Overweight"/>
  </r>
  <r>
    <n v="161"/>
    <n v="53"/>
    <x v="0"/>
    <n v="28.1"/>
    <n v="3"/>
    <x v="1"/>
    <x v="0"/>
    <n v="11741.726000000001"/>
    <x v="5"/>
    <s v="National Referral Hospitals"/>
    <s v="Overweight"/>
  </r>
  <r>
    <n v="9"/>
    <n v="58"/>
    <x v="1"/>
    <n v="32.01"/>
    <n v="1"/>
    <x v="1"/>
    <x v="1"/>
    <n v="11946.625899999999"/>
    <x v="3"/>
    <s v="County Referral Hospitals"/>
    <s v="Obese"/>
  </r>
  <r>
    <n v="261"/>
    <n v="44"/>
    <x v="1"/>
    <n v="27.4"/>
    <n v="2"/>
    <x v="1"/>
    <x v="0"/>
    <n v="7726.8540000000003"/>
    <x v="4"/>
    <s v="County Referral Hospitals"/>
    <s v="Overweight"/>
  </r>
  <r>
    <n v="137"/>
    <n v="57"/>
    <x v="1"/>
    <n v="34.01"/>
    <n v="0"/>
    <x v="1"/>
    <x v="2"/>
    <n v="11356.660900000001"/>
    <x v="11"/>
    <s v="Health Centres"/>
    <s v="Obese"/>
  </r>
  <r>
    <n v="252"/>
    <n v="29"/>
    <x v="0"/>
    <n v="29.59"/>
    <n v="1"/>
    <x v="1"/>
    <x v="1"/>
    <n v="3947.4131000000002"/>
    <x v="2"/>
    <s v="National Referral Hospitals"/>
    <s v="Overweight"/>
  </r>
  <r>
    <n v="191"/>
    <n v="21"/>
    <x v="1"/>
    <n v="35.53"/>
    <n v="0"/>
    <x v="1"/>
    <x v="1"/>
    <n v="1532.4697000000001"/>
    <x v="3"/>
    <s v="County Referral Hospitals"/>
    <s v="Obese"/>
  </r>
  <r>
    <n v="58"/>
    <n v="22"/>
    <x v="0"/>
    <n v="39.805"/>
    <n v="0"/>
    <x v="1"/>
    <x v="3"/>
    <n v="2755.0209500000001"/>
    <x v="4"/>
    <s v="County Referral Hospitals"/>
    <s v="Obese"/>
  </r>
  <r>
    <n v="113"/>
    <n v="41"/>
    <x v="0"/>
    <n v="32.965000000000003"/>
    <n v="0"/>
    <x v="1"/>
    <x v="2"/>
    <n v="6571.0243499999997"/>
    <x v="0"/>
    <s v="National Referral Hospitals"/>
    <s v="Obese"/>
  </r>
  <r>
    <n v="83"/>
    <n v="31"/>
    <x v="1"/>
    <n v="26.885000000000002"/>
    <n v="1"/>
    <x v="1"/>
    <x v="3"/>
    <n v="4441.2131499999996"/>
    <x v="0"/>
    <s v="National Referral Hospitals"/>
    <s v="Overweight"/>
  </r>
  <r>
    <n v="22"/>
    <n v="45"/>
    <x v="0"/>
    <n v="38.284999999999997"/>
    <n v="0"/>
    <x v="1"/>
    <x v="3"/>
    <n v="7935.29115"/>
    <x v="5"/>
    <s v="National Referral Hospitals"/>
    <s v="Obese"/>
  </r>
  <r>
    <n v="62"/>
    <n v="22"/>
    <x v="1"/>
    <n v="37.619999999999997"/>
    <n v="1"/>
    <x v="0"/>
    <x v="1"/>
    <n v="37165.163800000002"/>
    <x v="3"/>
    <s v="County Referral Hospitals"/>
    <s v="Obese"/>
  </r>
  <r>
    <n v="85"/>
    <n v="48"/>
    <x v="0"/>
    <n v="41.23"/>
    <n v="4"/>
    <x v="1"/>
    <x v="2"/>
    <n v="11033.661700000001"/>
    <x v="1"/>
    <s v="County Referral Hospitals"/>
    <s v="Obese"/>
  </r>
  <r>
    <n v="18"/>
    <n v="37"/>
    <x v="0"/>
    <n v="34.799999999999997"/>
    <n v="2"/>
    <x v="0"/>
    <x v="0"/>
    <n v="39836.519"/>
    <x v="2"/>
    <s v="National Referral Hospitals"/>
    <s v="Obese"/>
  </r>
  <r>
    <n v="183"/>
    <n v="45"/>
    <x v="1"/>
    <n v="22.895"/>
    <n v="2"/>
    <x v="0"/>
    <x v="2"/>
    <n v="21098.554049999999"/>
    <x v="3"/>
    <s v="County Referral Hospitals"/>
    <s v="Healthy"/>
  </r>
  <r>
    <n v="125"/>
    <n v="57"/>
    <x v="0"/>
    <n v="31.16"/>
    <n v="0"/>
    <x v="0"/>
    <x v="2"/>
    <n v="43578.939400000003"/>
    <x v="4"/>
    <s v="County Referral Hospitals"/>
    <s v="Obese"/>
  </r>
  <r>
    <n v="235"/>
    <n v="56"/>
    <x v="0"/>
    <n v="27.2"/>
    <n v="0"/>
    <x v="1"/>
    <x v="0"/>
    <n v="11073.175999999999"/>
    <x v="0"/>
    <s v="National Referral Hospitals"/>
    <s v="Overweight"/>
  </r>
  <r>
    <n v="83"/>
    <n v="46"/>
    <x v="0"/>
    <n v="27.74"/>
    <n v="0"/>
    <x v="1"/>
    <x v="2"/>
    <n v="8026.6665999999996"/>
    <x v="0"/>
    <s v="National Referral Hospitals"/>
    <s v="Overweight"/>
  </r>
  <r>
    <n v="89"/>
    <n v="55"/>
    <x v="0"/>
    <n v="26.98"/>
    <n v="0"/>
    <x v="1"/>
    <x v="2"/>
    <n v="11082.5772"/>
    <x v="5"/>
    <s v="National Referral Hospitals"/>
    <s v="Overweight"/>
  </r>
  <r>
    <n v="123"/>
    <n v="21"/>
    <x v="0"/>
    <n v="39.49"/>
    <n v="0"/>
    <x v="1"/>
    <x v="1"/>
    <n v="2026.9740999999999"/>
    <x v="6"/>
    <s v="County Hospitals"/>
    <s v="Obese"/>
  </r>
  <r>
    <n v="155"/>
    <n v="53"/>
    <x v="0"/>
    <n v="24.795000000000002"/>
    <n v="1"/>
    <x v="1"/>
    <x v="2"/>
    <n v="10942.13205"/>
    <x v="7"/>
    <s v="County Hospitals"/>
    <s v="Healthy"/>
  </r>
  <r>
    <n v="191"/>
    <n v="59"/>
    <x v="1"/>
    <n v="29.83"/>
    <n v="3"/>
    <x v="0"/>
    <x v="3"/>
    <n v="30184.936699999998"/>
    <x v="8"/>
    <s v="County Hospitals"/>
    <s v="Overweight"/>
  </r>
  <r>
    <n v="276"/>
    <n v="35"/>
    <x v="1"/>
    <n v="34.770000000000003"/>
    <n v="2"/>
    <x v="1"/>
    <x v="2"/>
    <n v="5729.0052999999998"/>
    <x v="9"/>
    <s v="Health Centres"/>
    <s v="Obese"/>
  </r>
  <r>
    <n v="147"/>
    <n v="64"/>
    <x v="0"/>
    <n v="31.3"/>
    <n v="2"/>
    <x v="0"/>
    <x v="0"/>
    <n v="47291.055"/>
    <x v="10"/>
    <s v="Health Centres"/>
    <s v="Obese"/>
  </r>
  <r>
    <n v="64"/>
    <n v="28"/>
    <x v="0"/>
    <n v="37.619999999999997"/>
    <n v="1"/>
    <x v="1"/>
    <x v="1"/>
    <n v="3766.8838000000001"/>
    <x v="11"/>
    <s v="Health Centres"/>
    <s v="Obese"/>
  </r>
  <r>
    <n v="279"/>
    <n v="54"/>
    <x v="0"/>
    <n v="30.8"/>
    <n v="3"/>
    <x v="1"/>
    <x v="0"/>
    <n v="12105.32"/>
    <x v="2"/>
    <s v="National Referral Hospitals"/>
    <s v="Obese"/>
  </r>
  <r>
    <n v="62"/>
    <n v="55"/>
    <x v="1"/>
    <n v="38.28"/>
    <n v="0"/>
    <x v="1"/>
    <x v="1"/>
    <n v="10226.2842"/>
    <x v="3"/>
    <s v="County Referral Hospitals"/>
    <s v="Obese"/>
  </r>
  <r>
    <n v="48"/>
    <n v="56"/>
    <x v="1"/>
    <n v="19.95"/>
    <n v="0"/>
    <x v="0"/>
    <x v="3"/>
    <n v="22412.648499999999"/>
    <x v="4"/>
    <s v="County Referral Hospitals"/>
    <s v="Healthy"/>
  </r>
  <r>
    <n v="175"/>
    <n v="38"/>
    <x v="1"/>
    <n v="19.3"/>
    <n v="0"/>
    <x v="0"/>
    <x v="0"/>
    <n v="15820.699000000001"/>
    <x v="4"/>
    <s v="County Referral Hospitals"/>
    <s v="Healthy"/>
  </r>
  <r>
    <n v="285"/>
    <n v="41"/>
    <x v="0"/>
    <n v="31.6"/>
    <n v="0"/>
    <x v="1"/>
    <x v="0"/>
    <n v="6186.1270000000004"/>
    <x v="0"/>
    <s v="National Referral Hospitals"/>
    <s v="Obese"/>
  </r>
  <r>
    <n v="95"/>
    <n v="30"/>
    <x v="1"/>
    <n v="25.46"/>
    <n v="0"/>
    <x v="1"/>
    <x v="3"/>
    <n v="3645.0893999999998"/>
    <x v="0"/>
    <s v="National Referral Hospitals"/>
    <s v="Overweight"/>
  </r>
  <r>
    <n v="271"/>
    <n v="18"/>
    <x v="0"/>
    <n v="30.114999999999998"/>
    <n v="0"/>
    <x v="1"/>
    <x v="3"/>
    <n v="21344.846699999998"/>
    <x v="5"/>
    <s v="National Referral Hospitals"/>
    <s v="Obese"/>
  </r>
  <r>
    <n v="285"/>
    <n v="61"/>
    <x v="0"/>
    <n v="29.92"/>
    <n v="3"/>
    <x v="0"/>
    <x v="1"/>
    <n v="30942.191800000001"/>
    <x v="3"/>
    <s v="County Referral Hospitals"/>
    <s v="Obese"/>
  </r>
  <r>
    <n v="47"/>
    <n v="34"/>
    <x v="0"/>
    <n v="27.5"/>
    <n v="1"/>
    <x v="1"/>
    <x v="0"/>
    <n v="5003.8530000000001"/>
    <x v="1"/>
    <s v="County Referral Hospitals"/>
    <s v="Overweight"/>
  </r>
  <r>
    <n v="267"/>
    <n v="20"/>
    <x v="1"/>
    <n v="28.024999999999999"/>
    <n v="1"/>
    <x v="0"/>
    <x v="2"/>
    <n v="17560.37975"/>
    <x v="2"/>
    <s v="National Referral Hospitals"/>
    <s v="Overweight"/>
  </r>
  <r>
    <n v="206"/>
    <n v="19"/>
    <x v="0"/>
    <n v="28.4"/>
    <n v="1"/>
    <x v="1"/>
    <x v="0"/>
    <n v="2331.5189999999998"/>
    <x v="3"/>
    <s v="County Referral Hospitals"/>
    <s v="Overweight"/>
  </r>
  <r>
    <n v="279"/>
    <n v="26"/>
    <x v="1"/>
    <n v="30.875"/>
    <n v="2"/>
    <x v="1"/>
    <x v="2"/>
    <n v="3877.3042500000001"/>
    <x v="4"/>
    <s v="County Referral Hospitals"/>
    <s v="Obese"/>
  </r>
  <r>
    <n v="189"/>
    <n v="29"/>
    <x v="1"/>
    <n v="27.94"/>
    <n v="0"/>
    <x v="1"/>
    <x v="1"/>
    <n v="2867.1196"/>
    <x v="0"/>
    <s v="National Referral Hospitals"/>
    <s v="Overweight"/>
  </r>
  <r>
    <n v="48"/>
    <n v="63"/>
    <x v="1"/>
    <n v="35.090000000000003"/>
    <n v="0"/>
    <x v="0"/>
    <x v="1"/>
    <n v="47055.532099999997"/>
    <x v="0"/>
    <s v="National Referral Hospitals"/>
    <s v="Obese"/>
  </r>
  <r>
    <n v="34"/>
    <n v="54"/>
    <x v="1"/>
    <n v="33.630000000000003"/>
    <n v="1"/>
    <x v="1"/>
    <x v="2"/>
    <n v="10825.253699999999"/>
    <x v="0"/>
    <s v="National Referral Hospitals"/>
    <s v="Obese"/>
  </r>
  <r>
    <n v="34"/>
    <n v="55"/>
    <x v="0"/>
    <n v="29.7"/>
    <n v="2"/>
    <x v="1"/>
    <x v="0"/>
    <n v="11881.358"/>
    <x v="5"/>
    <s v="National Referral Hospitals"/>
    <s v="Overweight"/>
  </r>
  <r>
    <n v="201"/>
    <n v="37"/>
    <x v="1"/>
    <n v="30.8"/>
    <n v="0"/>
    <x v="1"/>
    <x v="0"/>
    <n v="4646.759"/>
    <x v="3"/>
    <s v="County Referral Hospitals"/>
    <s v="Obese"/>
  </r>
  <r>
    <n v="156"/>
    <n v="21"/>
    <x v="0"/>
    <n v="35.72"/>
    <n v="0"/>
    <x v="1"/>
    <x v="2"/>
    <n v="2404.7338"/>
    <x v="1"/>
    <s v="County Referral Hospitals"/>
    <s v="Obese"/>
  </r>
  <r>
    <n v="65"/>
    <n v="52"/>
    <x v="1"/>
    <n v="32.204999999999998"/>
    <n v="3"/>
    <x v="1"/>
    <x v="3"/>
    <n v="11488.31695"/>
    <x v="2"/>
    <s v="National Referral Hospitals"/>
    <s v="Obe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7" firstHeaderRow="1" firstDataRow="2" firstDataCol="1"/>
  <pivotFields count="11">
    <pivotField showAll="0"/>
    <pivotField showAll="0"/>
    <pivotField axis="axisRow" showAll="0">
      <items count="4">
        <item x="0"/>
        <item x="1"/>
        <item x="2"/>
        <item t="default"/>
      </items>
    </pivotField>
    <pivotField showAll="0"/>
    <pivotField showAll="0"/>
    <pivotField showAll="0"/>
    <pivotField axis="axisRow" showAll="0">
      <items count="6">
        <item x="3"/>
        <item x="2"/>
        <item x="1"/>
        <item x="0"/>
        <item x="4"/>
        <item t="default"/>
      </items>
    </pivotField>
    <pivotField showAll="0"/>
    <pivotField showAll="0"/>
    <pivotField dataField="1" showAll="0">
      <items count="6">
        <item x="2"/>
        <item x="1"/>
        <item x="3"/>
        <item x="0"/>
        <item x="4"/>
        <item t="default"/>
      </items>
    </pivotField>
    <pivotField axis="axisCol" showAll="0">
      <items count="6">
        <item x="2"/>
        <item x="1"/>
        <item x="0"/>
        <item x="3"/>
        <item h="1" x="4"/>
        <item t="default"/>
      </items>
    </pivotField>
  </pivotFields>
  <rowFields count="2">
    <field x="6"/>
    <field x="2"/>
  </rowFields>
  <rowItems count="13">
    <i>
      <x/>
    </i>
    <i r="1">
      <x/>
    </i>
    <i r="1">
      <x v="1"/>
    </i>
    <i>
      <x v="1"/>
    </i>
    <i r="1">
      <x/>
    </i>
    <i r="1">
      <x v="1"/>
    </i>
    <i>
      <x v="2"/>
    </i>
    <i r="1">
      <x/>
    </i>
    <i r="1">
      <x v="1"/>
    </i>
    <i>
      <x v="3"/>
    </i>
    <i r="1">
      <x/>
    </i>
    <i r="1">
      <x v="1"/>
    </i>
    <i t="grand">
      <x/>
    </i>
  </rowItems>
  <colFields count="1">
    <field x="10"/>
  </colFields>
  <colItems count="5">
    <i>
      <x/>
    </i>
    <i>
      <x v="1"/>
    </i>
    <i>
      <x v="2"/>
    </i>
    <i>
      <x v="3"/>
    </i>
    <i t="grand">
      <x/>
    </i>
  </colItems>
  <dataFields count="1">
    <dataField name="Count of Leve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I19:J22" firstHeaderRow="1" firstDataRow="1" firstDataCol="1"/>
  <pivotFields count="11">
    <pivotField showAll="0"/>
    <pivotField showAll="0"/>
    <pivotField showAll="0"/>
    <pivotField showAll="0"/>
    <pivotField showAll="0"/>
    <pivotField axis="axisRow" dataField="1" showAll="0">
      <items count="3">
        <item x="1"/>
        <item x="0"/>
        <item t="default"/>
      </items>
    </pivotField>
    <pivotField showAll="0"/>
    <pivotField numFmtId="164" showAll="0"/>
    <pivotField showAll="0"/>
    <pivotField showAll="0"/>
    <pivotField showAll="0"/>
  </pivotFields>
  <rowFields count="1">
    <field x="5"/>
  </rowFields>
  <rowItems count="3">
    <i>
      <x/>
    </i>
    <i>
      <x v="1"/>
    </i>
    <i t="grand">
      <x/>
    </i>
  </rowItems>
  <colItems count="1">
    <i/>
  </colItems>
  <dataFields count="1">
    <dataField name="Count of smoker" fld="5" subtotal="count" baseField="0" baseItem="0"/>
  </dataFields>
  <chartFormats count="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3:I9" firstHeaderRow="1" firstDataRow="2" firstDataCol="1"/>
  <pivotFields count="11">
    <pivotField showAll="0"/>
    <pivotField showAll="0"/>
    <pivotField showAll="0"/>
    <pivotField showAll="0"/>
    <pivotField showAll="0"/>
    <pivotField axis="axisCol" dataField="1" showAll="0">
      <items count="3">
        <item x="1"/>
        <item x="0"/>
        <item t="default"/>
      </items>
    </pivotField>
    <pivotField axis="axisRow" showAll="0">
      <items count="5">
        <item x="3"/>
        <item x="2"/>
        <item x="1"/>
        <item x="0"/>
        <item t="default"/>
      </items>
    </pivotField>
    <pivotField numFmtId="164" showAll="0"/>
    <pivotField showAll="0"/>
    <pivotField showAll="0"/>
    <pivotField showAll="0"/>
  </pivotFields>
  <rowFields count="1">
    <field x="6"/>
  </rowFields>
  <rowItems count="5">
    <i>
      <x/>
    </i>
    <i>
      <x v="1"/>
    </i>
    <i>
      <x v="2"/>
    </i>
    <i>
      <x v="3"/>
    </i>
    <i t="grand">
      <x/>
    </i>
  </rowItems>
  <colFields count="1">
    <field x="5"/>
  </colFields>
  <colItems count="3">
    <i>
      <x/>
    </i>
    <i>
      <x v="1"/>
    </i>
    <i t="grand">
      <x/>
    </i>
  </colItems>
  <dataFields count="1">
    <dataField name="Count of smoker" fld="5"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Regional_Expenditure"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1">
    <pivotField showAll="0"/>
    <pivotField showAll="0"/>
    <pivotField showAll="0"/>
    <pivotField showAll="0"/>
    <pivotField showAll="0"/>
    <pivotField showAll="0"/>
    <pivotField axis="axisRow" showAll="0">
      <items count="5">
        <item x="3"/>
        <item x="2"/>
        <item x="1"/>
        <item x="0"/>
        <item t="default"/>
      </items>
    </pivotField>
    <pivotField dataField="1" numFmtId="164" showAll="0"/>
    <pivotField showAll="0"/>
    <pivotField showAll="0"/>
    <pivotField showAll="0"/>
  </pivotFields>
  <rowFields count="1">
    <field x="6"/>
  </rowFields>
  <rowItems count="5">
    <i>
      <x/>
    </i>
    <i>
      <x v="1"/>
    </i>
    <i>
      <x v="2"/>
    </i>
    <i>
      <x v="3"/>
    </i>
    <i t="grand">
      <x/>
    </i>
  </rowItems>
  <colItems count="1">
    <i/>
  </colItems>
  <dataFields count="1">
    <dataField name="Sum of charges" fld="7"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11">
    <pivotField showAll="0"/>
    <pivotField showAll="0"/>
    <pivotField showAll="0"/>
    <pivotField showAll="0"/>
    <pivotField showAll="0"/>
    <pivotField showAll="0"/>
    <pivotField showAll="0"/>
    <pivotField dataField="1" numFmtId="164" showAll="0"/>
    <pivotField axis="axisRow" showAll="0" sortType="ascending">
      <items count="13">
        <item x="3"/>
        <item x="4"/>
        <item x="0"/>
        <item x="2"/>
        <item x="1"/>
        <item x="8"/>
        <item x="10"/>
        <item x="11"/>
        <item x="5"/>
        <item x="9"/>
        <item x="6"/>
        <item x="7"/>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3">
    <i>
      <x v="10"/>
    </i>
    <i>
      <x v="4"/>
    </i>
    <i>
      <x v="7"/>
    </i>
    <i>
      <x v="1"/>
    </i>
    <i>
      <x v="5"/>
    </i>
    <i>
      <x/>
    </i>
    <i>
      <x v="3"/>
    </i>
    <i>
      <x v="2"/>
    </i>
    <i>
      <x v="8"/>
    </i>
    <i>
      <x v="9"/>
    </i>
    <i>
      <x v="6"/>
    </i>
    <i>
      <x v="11"/>
    </i>
    <i t="grand">
      <x/>
    </i>
  </rowItems>
  <colItems count="1">
    <i/>
  </colItems>
  <dataFields count="1">
    <dataField name="Average of charges" fld="7" subtotal="average" baseField="8" baseItem="0"/>
  </dataFields>
  <chartFormats count="2">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 firstHeaderRow="1" firstDataRow="1" firstDataCol="1"/>
  <pivotFields count="11">
    <pivotField dataField="1" showAll="0"/>
    <pivotField showAll="0"/>
    <pivotField showAll="0">
      <items count="4">
        <item x="0"/>
        <item x="1"/>
        <item x="2"/>
        <item t="default"/>
      </items>
    </pivotField>
    <pivotField showAll="0"/>
    <pivotField showAll="0"/>
    <pivotField showAll="0"/>
    <pivotField showAll="0">
      <items count="6">
        <item x="3"/>
        <item x="2"/>
        <item x="1"/>
        <item x="0"/>
        <item x="4"/>
        <item t="default"/>
      </items>
    </pivotField>
    <pivotField showAll="0"/>
    <pivotField axis="axisRow" showAll="0">
      <items count="14">
        <item x="3"/>
        <item x="4"/>
        <item x="0"/>
        <item x="2"/>
        <item x="1"/>
        <item x="8"/>
        <item x="10"/>
        <item x="11"/>
        <item x="5"/>
        <item x="9"/>
        <item x="6"/>
        <item x="7"/>
        <item x="12"/>
        <item t="default"/>
      </items>
    </pivotField>
    <pivotField showAll="0">
      <items count="6">
        <item x="2"/>
        <item x="1"/>
        <item x="3"/>
        <item x="0"/>
        <item x="4"/>
        <item t="default"/>
      </items>
    </pivotField>
    <pivotField showAll="0">
      <items count="6">
        <item x="2"/>
        <item x="1"/>
        <item x="0"/>
        <item x="3"/>
        <item h="1" x="4"/>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showAll="0"/>
    <pivotField showAll="0"/>
    <pivotField axis="axisRow" showAll="0">
      <items count="3">
        <item x="0"/>
        <item x="1"/>
        <item t="default"/>
      </items>
    </pivotField>
    <pivotField showAll="0"/>
    <pivotField showAll="0"/>
    <pivotField dataField="1" showAll="0"/>
    <pivotField axis="axisRow" showAll="0">
      <items count="5">
        <item x="3"/>
        <item x="2"/>
        <item x="1"/>
        <item x="0"/>
        <item t="default"/>
      </items>
    </pivotField>
    <pivotField numFmtId="164" showAll="0"/>
    <pivotField showAll="0"/>
    <pivotField showAll="0"/>
    <pivotField showAll="0"/>
  </pivotFields>
  <rowFields count="2">
    <field x="6"/>
    <field x="2"/>
  </rowFields>
  <rowItems count="13">
    <i>
      <x/>
    </i>
    <i r="1">
      <x/>
    </i>
    <i r="1">
      <x v="1"/>
    </i>
    <i>
      <x v="1"/>
    </i>
    <i r="1">
      <x/>
    </i>
    <i r="1">
      <x v="1"/>
    </i>
    <i>
      <x v="2"/>
    </i>
    <i r="1">
      <x/>
    </i>
    <i r="1">
      <x v="1"/>
    </i>
    <i>
      <x v="3"/>
    </i>
    <i r="1">
      <x/>
    </i>
    <i r="1">
      <x v="1"/>
    </i>
    <i t="grand">
      <x/>
    </i>
  </rowItems>
  <colItems count="1">
    <i/>
  </colItems>
  <dataFields count="1">
    <dataField name="Count of smoker"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3:N6" firstHeaderRow="1" firstDataRow="1" firstDataCol="1"/>
  <pivotFields count="11">
    <pivotField showAll="0"/>
    <pivotField showAll="0"/>
    <pivotField showAll="0">
      <items count="4">
        <item x="0"/>
        <item x="1"/>
        <item x="2"/>
        <item t="default"/>
      </items>
    </pivotField>
    <pivotField showAll="0"/>
    <pivotField showAll="0"/>
    <pivotField axis="axisRow" dataField="1" showAll="0">
      <items count="4">
        <item x="1"/>
        <item x="0"/>
        <item x="2"/>
        <item t="default"/>
      </items>
    </pivotField>
    <pivotField showAll="0">
      <items count="6">
        <item x="3"/>
        <item x="2"/>
        <item x="1"/>
        <item x="0"/>
        <item x="4"/>
        <item t="default"/>
      </items>
    </pivotField>
    <pivotField showAll="0"/>
    <pivotField showAll="0"/>
    <pivotField showAll="0">
      <items count="6">
        <item x="2"/>
        <item x="1"/>
        <item x="3"/>
        <item x="0"/>
        <item x="4"/>
        <item t="default"/>
      </items>
    </pivotField>
    <pivotField showAll="0">
      <items count="6">
        <item x="2"/>
        <item x="1"/>
        <item x="0"/>
        <item x="3"/>
        <item h="1" x="4"/>
        <item t="default"/>
      </items>
    </pivotField>
  </pivotFields>
  <rowFields count="1">
    <field x="5"/>
  </rowFields>
  <rowItems count="3">
    <i>
      <x/>
    </i>
    <i>
      <x v="1"/>
    </i>
    <i t="grand">
      <x/>
    </i>
  </rowItems>
  <colItems count="1">
    <i/>
  </colItems>
  <dataFields count="1">
    <dataField name="Count of smoker" fld="5" subtotal="count" baseField="0" baseItem="0"/>
  </dataField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0"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2" format="10">
      <pivotArea type="data" outline="0" fieldPosition="0">
        <references count="2">
          <reference field="4294967294" count="1" selected="0">
            <x v="0"/>
          </reference>
          <reference field="5" count="1" selected="0">
            <x v="0"/>
          </reference>
        </references>
      </pivotArea>
    </chartFormat>
    <chartFormat chart="2" format="1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3" name="PivotTable7"/>
    <pivotTable tabId="10" name="PivotTable44"/>
    <pivotTable tabId="13" name="PivotTable48"/>
  </pivotTables>
  <data>
    <tabular pivotCacheId="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7"/>
    <pivotTable tabId="10" name="PivotTable44"/>
    <pivotTable tabId="13" name="PivotTable48"/>
  </pivotTables>
  <data>
    <tabular pivotCacheId="1">
      <items count="5">
        <i x="3" s="1"/>
        <i x="2" s="1"/>
        <i x="1" s="1"/>
        <i x="0"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evel" sourceName="Level">
  <pivotTables>
    <pivotTable tabId="3" name="PivotTable7"/>
    <pivotTable tabId="10" name="PivotTable44"/>
    <pivotTable tabId="13" name="PivotTable48"/>
  </pivotTables>
  <data>
    <tabular pivotCacheId="1">
      <items count="5">
        <i x="2" s="1"/>
        <i x="1" s="1"/>
        <i x="3"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3" name="PivotTable7"/>
    <pivotTable tabId="10" name="PivotTable44"/>
    <pivotTable tabId="13" name="PivotTable48"/>
  </pivotTables>
  <data>
    <tabular pivotCacheId="1">
      <items count="5">
        <i x="2" s="1"/>
        <i x="1" s="1"/>
        <i x="0" s="1"/>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x" cache="Slicer_sex" caption="sex" style="SlicerStyleOther2" rowHeight="234950"/>
  <slicer name="region" cache="Slicer_region" caption="region" style="SlicerStyleDark5" rowHeight="234950"/>
  <slicer name="Level" cache="Slicer_Level" caption="Level" style="SlicerStyleDark5" rowHeight="252000"/>
  <slicer name="Weight Status" cache="Slicer_Weight_Status" caption="Weight Status" style="SlicerStyleOther2" rowHeight="252000"/>
</slicers>
</file>

<file path=xl/slicers/slicer2.xml><?xml version="1.0" encoding="utf-8"?>
<slicers xmlns="http://schemas.microsoft.com/office/spreadsheetml/2009/9/main" xmlns:mc="http://schemas.openxmlformats.org/markup-compatibility/2006" xmlns:x="http://schemas.openxmlformats.org/spreadsheetml/2006/main" mc:Ignorable="x">
  <slicer name="sex 1" cache="Slicer_sex" caption="sex" style="SlicerStyleOther2" rowHeight="360000"/>
  <slicer name="region 1" cache="Slicer_region" caption="region" style="SlicerStyleDark5" rowHeight="288000"/>
  <slicer name="Level 1" cache="Slicer_Level" caption="Level" style="SlicerStyleDark5" rowHeight="324000"/>
  <slicer name="Weight Status 1" cache="Slicer_Weight_Status" caption="Weight Status" style="SlicerStyleOther2" rowHeight="324000"/>
</slicers>
</file>

<file path=xl/tables/table1.xml><?xml version="1.0" encoding="utf-8"?>
<table xmlns="http://schemas.openxmlformats.org/spreadsheetml/2006/main" id="1" name="Table1" displayName="Table1" ref="A1:K116" totalsRowShown="0" headerRowDxfId="1">
  <autoFilter ref="A1:K116"/>
  <tableColumns count="11">
    <tableColumn id="1" name="Patient_ID"/>
    <tableColumn id="2" name="age"/>
    <tableColumn id="3" name="sex"/>
    <tableColumn id="4" name="bmi"/>
    <tableColumn id="5" name="children"/>
    <tableColumn id="6" name="smoker"/>
    <tableColumn id="7" name="region"/>
    <tableColumn id="8" name="charges" dataDxfId="0" dataCellStyle="Comma"/>
    <tableColumn id="9" name="Facility"/>
    <tableColumn id="10" name="Level"/>
    <tableColumn id="11" name="Weight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7"/>
  <sheetViews>
    <sheetView workbookViewId="0">
      <selection activeCell="I12" sqref="I12"/>
    </sheetView>
  </sheetViews>
  <sheetFormatPr defaultRowHeight="14.4" x14ac:dyDescent="0.3"/>
  <cols>
    <col min="1" max="1" width="13.21875" bestFit="1" customWidth="1"/>
    <col min="2" max="2" width="15.5546875" customWidth="1"/>
    <col min="3" max="3" width="6.21875" customWidth="1"/>
    <col min="4" max="4" width="10.6640625" customWidth="1"/>
    <col min="5" max="5" width="11.88671875" customWidth="1"/>
    <col min="6" max="6" width="10.77734375" customWidth="1"/>
    <col min="7" max="7" width="10.77734375" bestFit="1" customWidth="1"/>
  </cols>
  <sheetData>
    <row r="3" spans="1:6" x14ac:dyDescent="0.3">
      <c r="A3" s="5" t="s">
        <v>43</v>
      </c>
      <c r="B3" s="5" t="s">
        <v>42</v>
      </c>
    </row>
    <row r="4" spans="1:6" x14ac:dyDescent="0.3">
      <c r="A4" s="5" t="s">
        <v>40</v>
      </c>
      <c r="B4" s="1" t="s">
        <v>35</v>
      </c>
      <c r="C4" s="1" t="s">
        <v>34</v>
      </c>
      <c r="D4" s="1" t="s">
        <v>32</v>
      </c>
      <c r="E4" s="1" t="s">
        <v>38</v>
      </c>
      <c r="F4" s="1" t="s">
        <v>41</v>
      </c>
    </row>
    <row r="5" spans="1:6" x14ac:dyDescent="0.3">
      <c r="A5" s="6" t="s">
        <v>24</v>
      </c>
      <c r="B5" s="7">
        <v>3</v>
      </c>
      <c r="C5" s="7">
        <v>12</v>
      </c>
      <c r="D5" s="7">
        <v>9</v>
      </c>
      <c r="E5" s="7"/>
      <c r="F5" s="7">
        <v>24</v>
      </c>
    </row>
    <row r="6" spans="1:6" x14ac:dyDescent="0.3">
      <c r="A6" s="8" t="s">
        <v>11</v>
      </c>
      <c r="B6" s="7">
        <v>1</v>
      </c>
      <c r="C6" s="7">
        <v>9</v>
      </c>
      <c r="D6" s="7">
        <v>2</v>
      </c>
      <c r="E6" s="7"/>
      <c r="F6" s="7">
        <v>12</v>
      </c>
    </row>
    <row r="7" spans="1:6" x14ac:dyDescent="0.3">
      <c r="A7" s="8" t="s">
        <v>15</v>
      </c>
      <c r="B7" s="7">
        <v>2</v>
      </c>
      <c r="C7" s="7">
        <v>3</v>
      </c>
      <c r="D7" s="7">
        <v>7</v>
      </c>
      <c r="E7" s="7"/>
      <c r="F7" s="7">
        <v>12</v>
      </c>
    </row>
    <row r="8" spans="1:6" x14ac:dyDescent="0.3">
      <c r="A8" s="6" t="s">
        <v>20</v>
      </c>
      <c r="B8" s="7">
        <v>6</v>
      </c>
      <c r="C8" s="7">
        <v>14</v>
      </c>
      <c r="D8" s="7">
        <v>11</v>
      </c>
      <c r="E8" s="7">
        <v>1</v>
      </c>
      <c r="F8" s="7">
        <v>32</v>
      </c>
    </row>
    <row r="9" spans="1:6" x14ac:dyDescent="0.3">
      <c r="A9" s="8" t="s">
        <v>11</v>
      </c>
      <c r="B9" s="7">
        <v>2</v>
      </c>
      <c r="C9" s="7">
        <v>9</v>
      </c>
      <c r="D9" s="7">
        <v>6</v>
      </c>
      <c r="E9" s="7"/>
      <c r="F9" s="7">
        <v>17</v>
      </c>
    </row>
    <row r="10" spans="1:6" x14ac:dyDescent="0.3">
      <c r="A10" s="8" t="s">
        <v>15</v>
      </c>
      <c r="B10" s="7">
        <v>4</v>
      </c>
      <c r="C10" s="7">
        <v>5</v>
      </c>
      <c r="D10" s="7">
        <v>5</v>
      </c>
      <c r="E10" s="7">
        <v>1</v>
      </c>
      <c r="F10" s="7">
        <v>15</v>
      </c>
    </row>
    <row r="11" spans="1:6" x14ac:dyDescent="0.3">
      <c r="A11" s="6" t="s">
        <v>17</v>
      </c>
      <c r="B11" s="7">
        <v>5</v>
      </c>
      <c r="C11" s="7">
        <v>21</v>
      </c>
      <c r="D11" s="7">
        <v>5</v>
      </c>
      <c r="E11" s="7"/>
      <c r="F11" s="7">
        <v>31</v>
      </c>
    </row>
    <row r="12" spans="1:6" x14ac:dyDescent="0.3">
      <c r="A12" s="8" t="s">
        <v>11</v>
      </c>
      <c r="B12" s="7">
        <v>3</v>
      </c>
      <c r="C12" s="7">
        <v>8</v>
      </c>
      <c r="D12" s="7">
        <v>4</v>
      </c>
      <c r="E12" s="7"/>
      <c r="F12" s="7">
        <v>15</v>
      </c>
    </row>
    <row r="13" spans="1:6" x14ac:dyDescent="0.3">
      <c r="A13" s="8" t="s">
        <v>15</v>
      </c>
      <c r="B13" s="7">
        <v>2</v>
      </c>
      <c r="C13" s="7">
        <v>13</v>
      </c>
      <c r="D13" s="7">
        <v>1</v>
      </c>
      <c r="E13" s="7"/>
      <c r="F13" s="7">
        <v>16</v>
      </c>
    </row>
    <row r="14" spans="1:6" x14ac:dyDescent="0.3">
      <c r="A14" s="6" t="s">
        <v>13</v>
      </c>
      <c r="B14" s="7">
        <v>3</v>
      </c>
      <c r="C14" s="7">
        <v>15</v>
      </c>
      <c r="D14" s="7">
        <v>10</v>
      </c>
      <c r="E14" s="7"/>
      <c r="F14" s="7">
        <v>28</v>
      </c>
    </row>
    <row r="15" spans="1:6" x14ac:dyDescent="0.3">
      <c r="A15" s="8" t="s">
        <v>11</v>
      </c>
      <c r="B15" s="7"/>
      <c r="C15" s="7">
        <v>6</v>
      </c>
      <c r="D15" s="7">
        <v>8</v>
      </c>
      <c r="E15" s="7"/>
      <c r="F15" s="7">
        <v>14</v>
      </c>
    </row>
    <row r="16" spans="1:6" x14ac:dyDescent="0.3">
      <c r="A16" s="8" t="s">
        <v>15</v>
      </c>
      <c r="B16" s="7">
        <v>3</v>
      </c>
      <c r="C16" s="7">
        <v>9</v>
      </c>
      <c r="D16" s="7">
        <v>2</v>
      </c>
      <c r="E16" s="7"/>
      <c r="F16" s="7">
        <v>14</v>
      </c>
    </row>
    <row r="17" spans="1:6" x14ac:dyDescent="0.3">
      <c r="A17" s="6" t="s">
        <v>41</v>
      </c>
      <c r="B17" s="7">
        <v>17</v>
      </c>
      <c r="C17" s="7">
        <v>62</v>
      </c>
      <c r="D17" s="7">
        <v>35</v>
      </c>
      <c r="E17" s="7">
        <v>1</v>
      </c>
      <c r="F17" s="7">
        <v>115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2"/>
  <sheetViews>
    <sheetView workbookViewId="0">
      <selection activeCell="J19" sqref="J19"/>
    </sheetView>
  </sheetViews>
  <sheetFormatPr defaultRowHeight="14.4" x14ac:dyDescent="0.3"/>
  <cols>
    <col min="1" max="1" width="12.5546875" customWidth="1"/>
    <col min="2" max="2" width="15.5546875" bestFit="1" customWidth="1"/>
    <col min="3" max="3" width="3.77734375" customWidth="1"/>
    <col min="4" max="4" width="10.77734375" bestFit="1" customWidth="1"/>
    <col min="6" max="6" width="15.109375" bestFit="1" customWidth="1"/>
    <col min="7" max="7" width="15.5546875" bestFit="1" customWidth="1"/>
    <col min="8" max="8" width="3.77734375" customWidth="1"/>
    <col min="9" max="9" width="10.77734375" customWidth="1"/>
    <col min="10" max="10" width="15.109375" bestFit="1" customWidth="1"/>
  </cols>
  <sheetData>
    <row r="3" spans="1:9" x14ac:dyDescent="0.3">
      <c r="B3" s="1"/>
      <c r="F3" s="5" t="s">
        <v>44</v>
      </c>
      <c r="G3" s="5" t="s">
        <v>42</v>
      </c>
    </row>
    <row r="4" spans="1:9" x14ac:dyDescent="0.3">
      <c r="A4" s="1"/>
      <c r="B4" s="1"/>
      <c r="C4" s="1"/>
      <c r="D4" s="1"/>
      <c r="F4" s="5" t="s">
        <v>40</v>
      </c>
      <c r="G4" s="1" t="s">
        <v>16</v>
      </c>
      <c r="H4" s="1" t="s">
        <v>12</v>
      </c>
      <c r="I4" s="1" t="s">
        <v>41</v>
      </c>
    </row>
    <row r="5" spans="1:9" x14ac:dyDescent="0.3">
      <c r="A5" s="6"/>
      <c r="F5" s="6" t="s">
        <v>24</v>
      </c>
      <c r="G5" s="7">
        <v>20</v>
      </c>
      <c r="H5" s="7">
        <v>4</v>
      </c>
      <c r="I5" s="7">
        <v>24</v>
      </c>
    </row>
    <row r="6" spans="1:9" x14ac:dyDescent="0.3">
      <c r="A6" s="6"/>
      <c r="F6" s="6" t="s">
        <v>20</v>
      </c>
      <c r="G6" s="7">
        <v>27</v>
      </c>
      <c r="H6" s="7">
        <v>5</v>
      </c>
      <c r="I6" s="7">
        <v>32</v>
      </c>
    </row>
    <row r="7" spans="1:9" x14ac:dyDescent="0.3">
      <c r="A7" s="6"/>
      <c r="F7" s="6" t="s">
        <v>17</v>
      </c>
      <c r="G7" s="7">
        <v>20</v>
      </c>
      <c r="H7" s="7">
        <v>11</v>
      </c>
      <c r="I7" s="7">
        <v>31</v>
      </c>
    </row>
    <row r="8" spans="1:9" x14ac:dyDescent="0.3">
      <c r="A8" s="6"/>
      <c r="F8" s="6" t="s">
        <v>13</v>
      </c>
      <c r="G8" s="7">
        <v>18</v>
      </c>
      <c r="H8" s="7">
        <v>10</v>
      </c>
      <c r="I8" s="7">
        <v>28</v>
      </c>
    </row>
    <row r="9" spans="1:9" x14ac:dyDescent="0.3">
      <c r="A9" s="6"/>
      <c r="F9" s="6" t="s">
        <v>41</v>
      </c>
      <c r="G9" s="7">
        <v>85</v>
      </c>
      <c r="H9" s="7">
        <v>30</v>
      </c>
      <c r="I9" s="7">
        <v>115</v>
      </c>
    </row>
    <row r="19" spans="9:10" x14ac:dyDescent="0.3">
      <c r="I19" s="5" t="s">
        <v>40</v>
      </c>
      <c r="J19" t="s">
        <v>44</v>
      </c>
    </row>
    <row r="20" spans="9:10" x14ac:dyDescent="0.3">
      <c r="I20" s="6" t="s">
        <v>16</v>
      </c>
      <c r="J20" s="7">
        <v>85</v>
      </c>
    </row>
    <row r="21" spans="9:10" x14ac:dyDescent="0.3">
      <c r="I21" s="6" t="s">
        <v>12</v>
      </c>
      <c r="J21" s="7">
        <v>30</v>
      </c>
    </row>
    <row r="22" spans="9:10" x14ac:dyDescent="0.3">
      <c r="I22" s="6" t="s">
        <v>41</v>
      </c>
      <c r="J22" s="7">
        <v>115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4" sqref="A4"/>
    </sheetView>
  </sheetViews>
  <sheetFormatPr defaultRowHeight="14.4" x14ac:dyDescent="0.3"/>
  <cols>
    <col min="1" max="1" width="12.5546875" bestFit="1" customWidth="1"/>
    <col min="2" max="2" width="14" bestFit="1" customWidth="1"/>
  </cols>
  <sheetData>
    <row r="3" spans="1:2" x14ac:dyDescent="0.3">
      <c r="A3" s="5" t="s">
        <v>40</v>
      </c>
      <c r="B3" t="s">
        <v>50</v>
      </c>
    </row>
    <row r="4" spans="1:2" x14ac:dyDescent="0.3">
      <c r="A4" s="6" t="s">
        <v>24</v>
      </c>
      <c r="B4" s="7">
        <v>277625.89254999999</v>
      </c>
    </row>
    <row r="5" spans="1:2" x14ac:dyDescent="0.3">
      <c r="A5" s="6" t="s">
        <v>20</v>
      </c>
      <c r="B5" s="7">
        <v>402482.14219999994</v>
      </c>
    </row>
    <row r="6" spans="1:2" x14ac:dyDescent="0.3">
      <c r="A6" s="6" t="s">
        <v>17</v>
      </c>
      <c r="B6" s="7">
        <v>472129.5198999999</v>
      </c>
    </row>
    <row r="7" spans="1:2" x14ac:dyDescent="0.3">
      <c r="A7" s="6" t="s">
        <v>13</v>
      </c>
      <c r="B7" s="7">
        <v>488614.99164999992</v>
      </c>
    </row>
    <row r="8" spans="1:2" x14ac:dyDescent="0.3">
      <c r="A8" s="6" t="s">
        <v>41</v>
      </c>
      <c r="B8" s="7">
        <v>1640852.5462999998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3" sqref="A3"/>
    </sheetView>
  </sheetViews>
  <sheetFormatPr defaultRowHeight="14.4" x14ac:dyDescent="0.3"/>
  <cols>
    <col min="1" max="1" width="42.88671875" bestFit="1" customWidth="1"/>
    <col min="2" max="2" width="17.21875" bestFit="1" customWidth="1"/>
  </cols>
  <sheetData>
    <row r="3" spans="1:2" x14ac:dyDescent="0.3">
      <c r="A3" s="5" t="s">
        <v>40</v>
      </c>
      <c r="B3" t="s">
        <v>51</v>
      </c>
    </row>
    <row r="4" spans="1:2" x14ac:dyDescent="0.3">
      <c r="A4" s="6" t="s">
        <v>25</v>
      </c>
      <c r="B4" s="7">
        <v>4589.01998</v>
      </c>
    </row>
    <row r="5" spans="1:2" x14ac:dyDescent="0.3">
      <c r="A5" s="6" t="s">
        <v>18</v>
      </c>
      <c r="B5" s="7">
        <v>5041.9501999999993</v>
      </c>
    </row>
    <row r="6" spans="1:2" x14ac:dyDescent="0.3">
      <c r="A6" s="6" t="s">
        <v>30</v>
      </c>
      <c r="B6" s="7">
        <v>11143.239328571426</v>
      </c>
    </row>
    <row r="7" spans="1:2" x14ac:dyDescent="0.3">
      <c r="A7" s="6" t="s">
        <v>22</v>
      </c>
      <c r="B7" s="7">
        <v>12564.8572575</v>
      </c>
    </row>
    <row r="8" spans="1:2" x14ac:dyDescent="0.3">
      <c r="A8" s="6" t="s">
        <v>27</v>
      </c>
      <c r="B8" s="7">
        <v>12746.40344</v>
      </c>
    </row>
    <row r="9" spans="1:2" x14ac:dyDescent="0.3">
      <c r="A9" s="6" t="s">
        <v>21</v>
      </c>
      <c r="B9" s="7">
        <v>14139.497747647059</v>
      </c>
    </row>
    <row r="10" spans="1:2" x14ac:dyDescent="0.3">
      <c r="A10" s="6" t="s">
        <v>19</v>
      </c>
      <c r="B10" s="7">
        <v>14935.759816153846</v>
      </c>
    </row>
    <row r="11" spans="1:2" x14ac:dyDescent="0.3">
      <c r="A11" s="6" t="s">
        <v>14</v>
      </c>
      <c r="B11" s="7">
        <v>15001.288005833334</v>
      </c>
    </row>
    <row r="12" spans="1:2" x14ac:dyDescent="0.3">
      <c r="A12" s="6" t="s">
        <v>23</v>
      </c>
      <c r="B12" s="7">
        <v>15316.768961111109</v>
      </c>
    </row>
    <row r="13" spans="1:2" x14ac:dyDescent="0.3">
      <c r="A13" s="6" t="s">
        <v>28</v>
      </c>
      <c r="B13" s="7">
        <v>15377.713390000001</v>
      </c>
    </row>
    <row r="14" spans="1:2" x14ac:dyDescent="0.3">
      <c r="A14" s="6" t="s">
        <v>29</v>
      </c>
      <c r="B14" s="7">
        <v>23477.489439999998</v>
      </c>
    </row>
    <row r="15" spans="1:2" x14ac:dyDescent="0.3">
      <c r="A15" s="6" t="s">
        <v>26</v>
      </c>
      <c r="B15" s="7">
        <v>25654.610143999998</v>
      </c>
    </row>
    <row r="16" spans="1:2" x14ac:dyDescent="0.3">
      <c r="A16" s="6" t="s">
        <v>41</v>
      </c>
      <c r="B16" s="7">
        <v>14268.283011304346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
  <sheetViews>
    <sheetView workbookViewId="0">
      <selection activeCell="A3" sqref="A3:B15"/>
    </sheetView>
  </sheetViews>
  <sheetFormatPr defaultRowHeight="14.4" x14ac:dyDescent="0.3"/>
  <cols>
    <col min="1" max="1" width="42.88671875" customWidth="1"/>
    <col min="2" max="2" width="17.77734375" bestFit="1" customWidth="1"/>
    <col min="4" max="4" width="29.44140625" customWidth="1"/>
  </cols>
  <sheetData>
    <row r="3" spans="1:5" x14ac:dyDescent="0.3">
      <c r="A3" s="5" t="s">
        <v>40</v>
      </c>
      <c r="B3" t="s">
        <v>52</v>
      </c>
      <c r="D3" s="6" t="s">
        <v>21</v>
      </c>
      <c r="E3" s="7">
        <v>17</v>
      </c>
    </row>
    <row r="4" spans="1:5" x14ac:dyDescent="0.3">
      <c r="A4" s="6" t="s">
        <v>21</v>
      </c>
      <c r="B4" s="7">
        <v>17</v>
      </c>
      <c r="D4" s="6" t="s">
        <v>22</v>
      </c>
      <c r="E4" s="7">
        <v>16</v>
      </c>
    </row>
    <row r="5" spans="1:5" x14ac:dyDescent="0.3">
      <c r="A5" s="6" t="s">
        <v>22</v>
      </c>
      <c r="B5" s="7">
        <v>16</v>
      </c>
      <c r="D5" s="6" t="s">
        <v>14</v>
      </c>
      <c r="E5" s="7">
        <v>24</v>
      </c>
    </row>
    <row r="6" spans="1:5" x14ac:dyDescent="0.3">
      <c r="A6" s="6" t="s">
        <v>14</v>
      </c>
      <c r="B6" s="7">
        <v>24</v>
      </c>
      <c r="D6" s="6" t="s">
        <v>19</v>
      </c>
      <c r="E6" s="7">
        <v>13</v>
      </c>
    </row>
    <row r="7" spans="1:5" x14ac:dyDescent="0.3">
      <c r="A7" s="6" t="s">
        <v>19</v>
      </c>
      <c r="B7" s="7">
        <v>13</v>
      </c>
      <c r="D7" s="6" t="s">
        <v>18</v>
      </c>
      <c r="E7" s="7">
        <v>4</v>
      </c>
    </row>
    <row r="8" spans="1:5" x14ac:dyDescent="0.3">
      <c r="A8" s="6" t="s">
        <v>18</v>
      </c>
      <c r="B8" s="7">
        <v>4</v>
      </c>
      <c r="D8" s="6" t="s">
        <v>27</v>
      </c>
      <c r="E8" s="7">
        <v>5</v>
      </c>
    </row>
    <row r="9" spans="1:5" x14ac:dyDescent="0.3">
      <c r="A9" s="6" t="s">
        <v>27</v>
      </c>
      <c r="B9" s="7">
        <v>5</v>
      </c>
      <c r="D9" s="6" t="s">
        <v>29</v>
      </c>
      <c r="E9" s="7">
        <v>5</v>
      </c>
    </row>
    <row r="10" spans="1:5" x14ac:dyDescent="0.3">
      <c r="A10" s="6" t="s">
        <v>29</v>
      </c>
      <c r="B10" s="7">
        <v>5</v>
      </c>
      <c r="D10" s="6" t="s">
        <v>30</v>
      </c>
      <c r="E10" s="7">
        <v>7</v>
      </c>
    </row>
    <row r="11" spans="1:5" x14ac:dyDescent="0.3">
      <c r="A11" s="6" t="s">
        <v>30</v>
      </c>
      <c r="B11" s="7">
        <v>7</v>
      </c>
      <c r="D11" s="6" t="s">
        <v>23</v>
      </c>
      <c r="E11" s="7">
        <v>9</v>
      </c>
    </row>
    <row r="12" spans="1:5" x14ac:dyDescent="0.3">
      <c r="A12" s="6" t="s">
        <v>23</v>
      </c>
      <c r="B12" s="7">
        <v>9</v>
      </c>
      <c r="D12" s="6" t="s">
        <v>28</v>
      </c>
      <c r="E12" s="7">
        <v>5</v>
      </c>
    </row>
    <row r="13" spans="1:5" x14ac:dyDescent="0.3">
      <c r="A13" s="6" t="s">
        <v>28</v>
      </c>
      <c r="B13" s="7">
        <v>5</v>
      </c>
      <c r="D13" s="6" t="s">
        <v>25</v>
      </c>
      <c r="E13" s="7">
        <v>5</v>
      </c>
    </row>
    <row r="14" spans="1:5" x14ac:dyDescent="0.3">
      <c r="A14" s="6" t="s">
        <v>25</v>
      </c>
      <c r="B14" s="7">
        <v>5</v>
      </c>
      <c r="D14" s="6" t="s">
        <v>26</v>
      </c>
      <c r="E14" s="7">
        <v>5</v>
      </c>
    </row>
    <row r="15" spans="1:5" x14ac:dyDescent="0.3">
      <c r="A15" s="6" t="s">
        <v>26</v>
      </c>
      <c r="B15" s="7">
        <v>5</v>
      </c>
    </row>
    <row r="16" spans="1:5" x14ac:dyDescent="0.3">
      <c r="A16" s="6" t="s">
        <v>41</v>
      </c>
      <c r="B16" s="7">
        <v>115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6"/>
  <sheetViews>
    <sheetView tabSelected="1" workbookViewId="0">
      <selection activeCell="F22" sqref="F22"/>
    </sheetView>
  </sheetViews>
  <sheetFormatPr defaultRowHeight="14.4" x14ac:dyDescent="0.3"/>
  <cols>
    <col min="1" max="1" width="12.5546875" bestFit="1" customWidth="1"/>
    <col min="2" max="2" width="15.109375" bestFit="1" customWidth="1"/>
    <col min="13" max="13" width="12.5546875" customWidth="1"/>
    <col min="14" max="14" width="15.109375" customWidth="1"/>
    <col min="15" max="15" width="6.21875" customWidth="1"/>
    <col min="16" max="16" width="10.6640625" bestFit="1" customWidth="1"/>
    <col min="17" max="17" width="10.77734375" bestFit="1" customWidth="1"/>
  </cols>
  <sheetData>
    <row r="3" spans="1:14" x14ac:dyDescent="0.3">
      <c r="A3" s="5" t="s">
        <v>40</v>
      </c>
      <c r="B3" t="s">
        <v>44</v>
      </c>
      <c r="M3" s="5" t="s">
        <v>40</v>
      </c>
      <c r="N3" t="s">
        <v>44</v>
      </c>
    </row>
    <row r="4" spans="1:14" x14ac:dyDescent="0.3">
      <c r="A4" s="6" t="s">
        <v>24</v>
      </c>
      <c r="B4" s="7">
        <v>24</v>
      </c>
      <c r="M4" s="6" t="s">
        <v>16</v>
      </c>
      <c r="N4" s="7">
        <v>85</v>
      </c>
    </row>
    <row r="5" spans="1:14" x14ac:dyDescent="0.3">
      <c r="A5" s="8" t="s">
        <v>11</v>
      </c>
      <c r="B5" s="7">
        <v>12</v>
      </c>
      <c r="M5" s="6" t="s">
        <v>12</v>
      </c>
      <c r="N5" s="7">
        <v>30</v>
      </c>
    </row>
    <row r="6" spans="1:14" x14ac:dyDescent="0.3">
      <c r="A6" s="8" t="s">
        <v>15</v>
      </c>
      <c r="B6" s="7">
        <v>12</v>
      </c>
      <c r="M6" s="6" t="s">
        <v>41</v>
      </c>
      <c r="N6" s="7">
        <v>115</v>
      </c>
    </row>
    <row r="7" spans="1:14" x14ac:dyDescent="0.3">
      <c r="A7" s="6" t="s">
        <v>20</v>
      </c>
      <c r="B7" s="7">
        <v>32</v>
      </c>
    </row>
    <row r="8" spans="1:14" x14ac:dyDescent="0.3">
      <c r="A8" s="8" t="s">
        <v>11</v>
      </c>
      <c r="B8" s="7">
        <v>17</v>
      </c>
    </row>
    <row r="9" spans="1:14" x14ac:dyDescent="0.3">
      <c r="A9" s="8" t="s">
        <v>15</v>
      </c>
      <c r="B9" s="7">
        <v>15</v>
      </c>
    </row>
    <row r="10" spans="1:14" x14ac:dyDescent="0.3">
      <c r="A10" s="6" t="s">
        <v>17</v>
      </c>
      <c r="B10" s="7">
        <v>31</v>
      </c>
    </row>
    <row r="11" spans="1:14" x14ac:dyDescent="0.3">
      <c r="A11" s="8" t="s">
        <v>11</v>
      </c>
      <c r="B11" s="7">
        <v>15</v>
      </c>
    </row>
    <row r="12" spans="1:14" x14ac:dyDescent="0.3">
      <c r="A12" s="8" t="s">
        <v>15</v>
      </c>
      <c r="B12" s="7">
        <v>16</v>
      </c>
    </row>
    <row r="13" spans="1:14" x14ac:dyDescent="0.3">
      <c r="A13" s="6" t="s">
        <v>13</v>
      </c>
      <c r="B13" s="7">
        <v>28</v>
      </c>
    </row>
    <row r="14" spans="1:14" x14ac:dyDescent="0.3">
      <c r="A14" s="8" t="s">
        <v>11</v>
      </c>
      <c r="B14" s="7">
        <v>14</v>
      </c>
    </row>
    <row r="15" spans="1:14" x14ac:dyDescent="0.3">
      <c r="A15" s="8" t="s">
        <v>15</v>
      </c>
      <c r="B15" s="7">
        <v>14</v>
      </c>
    </row>
    <row r="16" spans="1:14" x14ac:dyDescent="0.3">
      <c r="A16" s="6" t="s">
        <v>41</v>
      </c>
      <c r="B16" s="7">
        <v>115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6"/>
  <sheetViews>
    <sheetView topLeftCell="A2" workbookViewId="0">
      <selection sqref="A1:K116"/>
    </sheetView>
  </sheetViews>
  <sheetFormatPr defaultRowHeight="14.4" x14ac:dyDescent="0.3"/>
  <cols>
    <col min="1" max="1" width="11.6640625" customWidth="1"/>
    <col min="5" max="5" width="9.6640625" customWidth="1"/>
    <col min="6" max="6" width="9.109375" customWidth="1"/>
    <col min="7" max="7" width="12.109375" customWidth="1"/>
    <col min="8" max="8" width="10.21875" customWidth="1"/>
    <col min="9" max="9" width="47.109375" customWidth="1"/>
    <col min="10" max="10" width="28.5546875" customWidth="1"/>
    <col min="11" max="11" width="15.77734375" customWidth="1"/>
  </cols>
  <sheetData>
    <row r="1" spans="1:11" x14ac:dyDescent="0.3">
      <c r="A1" s="2" t="s">
        <v>0</v>
      </c>
      <c r="B1" s="2" t="s">
        <v>1</v>
      </c>
      <c r="C1" s="2" t="s">
        <v>2</v>
      </c>
      <c r="D1" s="2" t="s">
        <v>3</v>
      </c>
      <c r="E1" s="2" t="s">
        <v>4</v>
      </c>
      <c r="F1" s="2" t="s">
        <v>5</v>
      </c>
      <c r="G1" s="2" t="s">
        <v>6</v>
      </c>
      <c r="H1" s="3" t="s">
        <v>7</v>
      </c>
      <c r="I1" s="2" t="s">
        <v>8</v>
      </c>
      <c r="J1" s="2" t="s">
        <v>9</v>
      </c>
      <c r="K1" s="2" t="s">
        <v>10</v>
      </c>
    </row>
    <row r="2" spans="1:11" x14ac:dyDescent="0.3">
      <c r="A2" s="1">
        <v>209</v>
      </c>
      <c r="B2" s="1">
        <v>19</v>
      </c>
      <c r="C2" s="1" t="s">
        <v>11</v>
      </c>
      <c r="D2" s="1">
        <v>27.9</v>
      </c>
      <c r="E2" s="1">
        <v>0</v>
      </c>
      <c r="F2" s="1" t="s">
        <v>12</v>
      </c>
      <c r="G2" s="1" t="s">
        <v>13</v>
      </c>
      <c r="H2" s="4">
        <v>16884.923999999999</v>
      </c>
      <c r="I2" s="1" t="s">
        <v>14</v>
      </c>
      <c r="J2" s="1" t="s">
        <v>31</v>
      </c>
      <c r="K2" s="1" t="s">
        <v>32</v>
      </c>
    </row>
    <row r="3" spans="1:11" x14ac:dyDescent="0.3">
      <c r="A3" s="1">
        <v>69</v>
      </c>
      <c r="B3" s="1">
        <v>18</v>
      </c>
      <c r="C3" s="1" t="s">
        <v>15</v>
      </c>
      <c r="D3" s="1">
        <v>33.770000000000003</v>
      </c>
      <c r="E3" s="1">
        <v>1</v>
      </c>
      <c r="F3" s="1" t="s">
        <v>16</v>
      </c>
      <c r="G3" s="1" t="s">
        <v>17</v>
      </c>
      <c r="H3" s="4">
        <v>1725.5523000000001</v>
      </c>
      <c r="I3" s="1" t="s">
        <v>18</v>
      </c>
      <c r="J3" s="1" t="s">
        <v>33</v>
      </c>
      <c r="K3" s="1" t="s">
        <v>34</v>
      </c>
    </row>
    <row r="4" spans="1:11" x14ac:dyDescent="0.3">
      <c r="A4" s="1">
        <v>16</v>
      </c>
      <c r="B4" s="1">
        <v>28</v>
      </c>
      <c r="C4" s="1" t="s">
        <v>15</v>
      </c>
      <c r="D4" s="1">
        <v>33</v>
      </c>
      <c r="E4" s="1">
        <v>3</v>
      </c>
      <c r="F4" s="1" t="s">
        <v>16</v>
      </c>
      <c r="G4" s="1" t="s">
        <v>17</v>
      </c>
      <c r="H4" s="4">
        <v>4449.4620000000004</v>
      </c>
      <c r="I4" s="1" t="s">
        <v>19</v>
      </c>
      <c r="J4" s="1" t="s">
        <v>31</v>
      </c>
      <c r="K4" s="1" t="s">
        <v>34</v>
      </c>
    </row>
    <row r="5" spans="1:11" x14ac:dyDescent="0.3">
      <c r="A5" s="1">
        <v>218</v>
      </c>
      <c r="B5" s="1">
        <v>33</v>
      </c>
      <c r="C5" s="1" t="s">
        <v>15</v>
      </c>
      <c r="D5" s="1">
        <v>22.704999999999998</v>
      </c>
      <c r="E5" s="1">
        <v>0</v>
      </c>
      <c r="F5" s="1" t="s">
        <v>16</v>
      </c>
      <c r="G5" s="1" t="s">
        <v>20</v>
      </c>
      <c r="H5" s="4">
        <v>21984.47061</v>
      </c>
      <c r="I5" s="1" t="s">
        <v>21</v>
      </c>
      <c r="J5" s="1" t="s">
        <v>33</v>
      </c>
      <c r="K5" s="1" t="s">
        <v>35</v>
      </c>
    </row>
    <row r="6" spans="1:11" x14ac:dyDescent="0.3">
      <c r="A6" s="1">
        <v>39</v>
      </c>
      <c r="B6" s="1">
        <v>32</v>
      </c>
      <c r="C6" s="1" t="s">
        <v>15</v>
      </c>
      <c r="D6" s="1">
        <v>28.88</v>
      </c>
      <c r="E6" s="1">
        <v>0</v>
      </c>
      <c r="F6" s="1" t="s">
        <v>16</v>
      </c>
      <c r="G6" s="1" t="s">
        <v>20</v>
      </c>
      <c r="H6" s="4">
        <v>3866.8552</v>
      </c>
      <c r="I6" s="1" t="s">
        <v>22</v>
      </c>
      <c r="J6" s="1" t="s">
        <v>33</v>
      </c>
      <c r="K6" s="1" t="s">
        <v>32</v>
      </c>
    </row>
    <row r="7" spans="1:11" x14ac:dyDescent="0.3">
      <c r="A7" s="1">
        <v>36</v>
      </c>
      <c r="B7" s="1">
        <v>31</v>
      </c>
      <c r="C7" s="1" t="s">
        <v>11</v>
      </c>
      <c r="D7" s="1">
        <v>25.74</v>
      </c>
      <c r="E7" s="1">
        <v>0</v>
      </c>
      <c r="F7" s="1" t="s">
        <v>16</v>
      </c>
      <c r="G7" s="1" t="s">
        <v>17</v>
      </c>
      <c r="H7" s="4">
        <v>3756.6215999999999</v>
      </c>
      <c r="I7" s="1" t="s">
        <v>14</v>
      </c>
      <c r="J7" s="1" t="s">
        <v>31</v>
      </c>
      <c r="K7" s="1" t="s">
        <v>32</v>
      </c>
    </row>
    <row r="8" spans="1:11" x14ac:dyDescent="0.3">
      <c r="A8" s="1">
        <v>262</v>
      </c>
      <c r="B8" s="1">
        <v>46</v>
      </c>
      <c r="C8" s="1" t="s">
        <v>11</v>
      </c>
      <c r="D8" s="1">
        <v>33.44</v>
      </c>
      <c r="E8" s="1">
        <v>1</v>
      </c>
      <c r="F8" s="1" t="s">
        <v>16</v>
      </c>
      <c r="G8" s="1" t="s">
        <v>17</v>
      </c>
      <c r="H8" s="4">
        <v>8240.5895999999993</v>
      </c>
      <c r="I8" s="1" t="s">
        <v>14</v>
      </c>
      <c r="J8" s="1" t="s">
        <v>31</v>
      </c>
      <c r="K8" s="1" t="s">
        <v>34</v>
      </c>
    </row>
    <row r="9" spans="1:11" x14ac:dyDescent="0.3">
      <c r="A9" s="1">
        <v>177</v>
      </c>
      <c r="B9" s="1">
        <v>37</v>
      </c>
      <c r="C9" s="1" t="s">
        <v>11</v>
      </c>
      <c r="D9" s="1">
        <v>27.74</v>
      </c>
      <c r="E9" s="1">
        <v>3</v>
      </c>
      <c r="F9" s="1" t="s">
        <v>16</v>
      </c>
      <c r="G9" s="1" t="s">
        <v>20</v>
      </c>
      <c r="H9" s="4">
        <v>7281.5056000000004</v>
      </c>
      <c r="I9" s="1" t="s">
        <v>23</v>
      </c>
      <c r="J9" s="1" t="s">
        <v>31</v>
      </c>
      <c r="K9" s="1" t="s">
        <v>32</v>
      </c>
    </row>
    <row r="10" spans="1:11" x14ac:dyDescent="0.3">
      <c r="A10" s="1">
        <v>42</v>
      </c>
      <c r="B10" s="1">
        <v>37</v>
      </c>
      <c r="C10" s="1" t="s">
        <v>15</v>
      </c>
      <c r="D10" s="1">
        <v>29.83</v>
      </c>
      <c r="E10" s="1">
        <v>2</v>
      </c>
      <c r="F10" s="1" t="s">
        <v>16</v>
      </c>
      <c r="G10" s="1" t="s">
        <v>24</v>
      </c>
      <c r="H10" s="4">
        <v>6406.4107000000004</v>
      </c>
      <c r="I10" s="1" t="s">
        <v>25</v>
      </c>
      <c r="J10" s="1" t="s">
        <v>36</v>
      </c>
      <c r="K10" s="1" t="s">
        <v>32</v>
      </c>
    </row>
    <row r="11" spans="1:11" x14ac:dyDescent="0.3">
      <c r="A11" s="1">
        <v>231</v>
      </c>
      <c r="B11" s="1">
        <v>60</v>
      </c>
      <c r="C11" s="1" t="s">
        <v>11</v>
      </c>
      <c r="D11" s="1">
        <v>25.84</v>
      </c>
      <c r="E11" s="1">
        <v>0</v>
      </c>
      <c r="F11" s="1" t="s">
        <v>16</v>
      </c>
      <c r="G11" s="1" t="s">
        <v>20</v>
      </c>
      <c r="H11" s="4">
        <v>28923.136920000001</v>
      </c>
      <c r="I11" s="1" t="s">
        <v>26</v>
      </c>
      <c r="J11" s="1" t="s">
        <v>36</v>
      </c>
      <c r="K11" s="1" t="s">
        <v>32</v>
      </c>
    </row>
    <row r="12" spans="1:11" x14ac:dyDescent="0.3">
      <c r="A12" s="1">
        <v>11</v>
      </c>
      <c r="B12" s="1">
        <v>25</v>
      </c>
      <c r="C12" s="1" t="s">
        <v>15</v>
      </c>
      <c r="D12" s="1">
        <v>26.22</v>
      </c>
      <c r="E12" s="1">
        <v>0</v>
      </c>
      <c r="F12" s="1" t="s">
        <v>16</v>
      </c>
      <c r="G12" s="1" t="s">
        <v>24</v>
      </c>
      <c r="H12" s="4">
        <v>2721.3208</v>
      </c>
      <c r="I12" s="1" t="s">
        <v>27</v>
      </c>
      <c r="J12" s="1" t="s">
        <v>36</v>
      </c>
      <c r="K12" s="1" t="s">
        <v>32</v>
      </c>
    </row>
    <row r="13" spans="1:11" x14ac:dyDescent="0.3">
      <c r="A13" s="1">
        <v>292</v>
      </c>
      <c r="B13" s="1">
        <v>62</v>
      </c>
      <c r="C13" s="1" t="s">
        <v>11</v>
      </c>
      <c r="D13" s="1">
        <v>26.29</v>
      </c>
      <c r="E13" s="1">
        <v>0</v>
      </c>
      <c r="F13" s="1" t="s">
        <v>12</v>
      </c>
      <c r="G13" s="1" t="s">
        <v>17</v>
      </c>
      <c r="H13" s="4">
        <v>27808.7251</v>
      </c>
      <c r="I13" s="1" t="s">
        <v>28</v>
      </c>
      <c r="J13" s="1" t="s">
        <v>37</v>
      </c>
      <c r="K13" s="1" t="s">
        <v>32</v>
      </c>
    </row>
    <row r="14" spans="1:11" x14ac:dyDescent="0.3">
      <c r="A14" s="1">
        <v>24</v>
      </c>
      <c r="B14" s="1">
        <v>23</v>
      </c>
      <c r="C14" s="1" t="s">
        <v>15</v>
      </c>
      <c r="D14" s="1">
        <v>34.4</v>
      </c>
      <c r="E14" s="1">
        <v>0</v>
      </c>
      <c r="F14" s="1" t="s">
        <v>16</v>
      </c>
      <c r="G14" s="1" t="s">
        <v>13</v>
      </c>
      <c r="H14" s="4">
        <v>1826.8430000000001</v>
      </c>
      <c r="I14" s="1" t="s">
        <v>29</v>
      </c>
      <c r="J14" s="1" t="s">
        <v>37</v>
      </c>
      <c r="K14" s="1" t="s">
        <v>34</v>
      </c>
    </row>
    <row r="15" spans="1:11" x14ac:dyDescent="0.3">
      <c r="A15" s="1">
        <v>280</v>
      </c>
      <c r="B15" s="1">
        <v>56</v>
      </c>
      <c r="C15" s="1" t="s">
        <v>11</v>
      </c>
      <c r="D15" s="1">
        <v>39.82</v>
      </c>
      <c r="E15" s="1">
        <v>0</v>
      </c>
      <c r="F15" s="1" t="s">
        <v>16</v>
      </c>
      <c r="G15" s="1" t="s">
        <v>17</v>
      </c>
      <c r="H15" s="4">
        <v>11090.7178</v>
      </c>
      <c r="I15" s="1" t="s">
        <v>30</v>
      </c>
      <c r="J15" s="1" t="s">
        <v>37</v>
      </c>
      <c r="K15" s="1" t="s">
        <v>34</v>
      </c>
    </row>
    <row r="16" spans="1:11" x14ac:dyDescent="0.3">
      <c r="A16" s="1">
        <v>289</v>
      </c>
      <c r="B16" s="1">
        <v>27</v>
      </c>
      <c r="C16" s="1" t="s">
        <v>15</v>
      </c>
      <c r="D16" s="1">
        <v>42.13</v>
      </c>
      <c r="E16" s="1">
        <v>0</v>
      </c>
      <c r="F16" s="1" t="s">
        <v>12</v>
      </c>
      <c r="G16" s="1" t="s">
        <v>17</v>
      </c>
      <c r="H16" s="4">
        <v>39611.757700000002</v>
      </c>
      <c r="I16" s="1" t="s">
        <v>19</v>
      </c>
      <c r="J16" s="1" t="s">
        <v>31</v>
      </c>
      <c r="K16" s="1" t="s">
        <v>34</v>
      </c>
    </row>
    <row r="17" spans="1:11" x14ac:dyDescent="0.3">
      <c r="A17" s="1">
        <v>22</v>
      </c>
      <c r="B17" s="1">
        <v>19</v>
      </c>
      <c r="C17" s="1" t="s">
        <v>15</v>
      </c>
      <c r="D17" s="1">
        <v>24.6</v>
      </c>
      <c r="E17" s="1">
        <v>1</v>
      </c>
      <c r="F17" s="1" t="s">
        <v>16</v>
      </c>
      <c r="G17" s="1" t="s">
        <v>13</v>
      </c>
      <c r="H17" s="4">
        <v>1837.2370000000001</v>
      </c>
      <c r="I17" s="1" t="s">
        <v>21</v>
      </c>
      <c r="J17" s="1" t="s">
        <v>33</v>
      </c>
      <c r="K17" s="1" t="s">
        <v>35</v>
      </c>
    </row>
    <row r="18" spans="1:11" x14ac:dyDescent="0.3">
      <c r="A18" s="1">
        <v>203</v>
      </c>
      <c r="B18" s="1">
        <v>52</v>
      </c>
      <c r="C18" s="1" t="s">
        <v>11</v>
      </c>
      <c r="D18" s="1">
        <v>30.78</v>
      </c>
      <c r="E18" s="1">
        <v>1</v>
      </c>
      <c r="F18" s="1" t="s">
        <v>16</v>
      </c>
      <c r="G18" s="1" t="s">
        <v>24</v>
      </c>
      <c r="H18" s="4">
        <v>10797.3362</v>
      </c>
      <c r="I18" s="1" t="s">
        <v>22</v>
      </c>
      <c r="J18" s="1" t="s">
        <v>33</v>
      </c>
      <c r="K18" s="1" t="s">
        <v>34</v>
      </c>
    </row>
    <row r="19" spans="1:11" x14ac:dyDescent="0.3">
      <c r="A19" s="1">
        <v>185</v>
      </c>
      <c r="B19" s="1">
        <v>23</v>
      </c>
      <c r="C19" s="1" t="s">
        <v>15</v>
      </c>
      <c r="D19" s="1">
        <v>23.844999999999999</v>
      </c>
      <c r="E19" s="1">
        <v>0</v>
      </c>
      <c r="F19" s="1" t="s">
        <v>16</v>
      </c>
      <c r="G19" s="1" t="s">
        <v>24</v>
      </c>
      <c r="H19" s="4">
        <v>2395.17155</v>
      </c>
      <c r="I19" s="1" t="s">
        <v>22</v>
      </c>
      <c r="J19" s="1" t="s">
        <v>33</v>
      </c>
      <c r="K19" s="1" t="s">
        <v>35</v>
      </c>
    </row>
    <row r="20" spans="1:11" x14ac:dyDescent="0.3">
      <c r="A20" s="1">
        <v>53</v>
      </c>
      <c r="B20" s="1">
        <v>56</v>
      </c>
      <c r="C20" s="1" t="s">
        <v>15</v>
      </c>
      <c r="D20" s="1">
        <v>40.299999999999997</v>
      </c>
      <c r="E20" s="1">
        <v>0</v>
      </c>
      <c r="F20" s="1" t="s">
        <v>16</v>
      </c>
      <c r="G20" s="1" t="s">
        <v>13</v>
      </c>
      <c r="H20" s="4">
        <v>10602.385</v>
      </c>
      <c r="I20" s="1" t="s">
        <v>14</v>
      </c>
      <c r="J20" s="1" t="s">
        <v>31</v>
      </c>
      <c r="K20" s="1" t="s">
        <v>34</v>
      </c>
    </row>
    <row r="21" spans="1:11" x14ac:dyDescent="0.3">
      <c r="A21" s="1">
        <v>258</v>
      </c>
      <c r="B21" s="1">
        <v>30</v>
      </c>
      <c r="C21" s="1" t="s">
        <v>15</v>
      </c>
      <c r="D21" s="1">
        <v>35.299999999999997</v>
      </c>
      <c r="E21" s="1">
        <v>0</v>
      </c>
      <c r="F21" s="1" t="s">
        <v>12</v>
      </c>
      <c r="G21" s="1" t="s">
        <v>13</v>
      </c>
      <c r="H21" s="4">
        <v>36837.466999999997</v>
      </c>
      <c r="I21" s="1" t="s">
        <v>14</v>
      </c>
      <c r="J21" s="1" t="s">
        <v>31</v>
      </c>
      <c r="K21" s="1" t="s">
        <v>34</v>
      </c>
    </row>
    <row r="22" spans="1:11" x14ac:dyDescent="0.3">
      <c r="A22" s="1">
        <v>289</v>
      </c>
      <c r="B22" s="1">
        <v>60</v>
      </c>
      <c r="C22" s="1" t="s">
        <v>11</v>
      </c>
      <c r="D22" s="1">
        <v>36.005000000000003</v>
      </c>
      <c r="E22" s="1">
        <v>0</v>
      </c>
      <c r="F22" s="1" t="s">
        <v>16</v>
      </c>
      <c r="G22" s="1" t="s">
        <v>24</v>
      </c>
      <c r="H22" s="4">
        <v>13228.846949999999</v>
      </c>
      <c r="I22" s="1" t="s">
        <v>23</v>
      </c>
      <c r="J22" s="1" t="s">
        <v>31</v>
      </c>
      <c r="K22" s="1" t="s">
        <v>34</v>
      </c>
    </row>
    <row r="23" spans="1:11" x14ac:dyDescent="0.3">
      <c r="A23" s="1">
        <v>214</v>
      </c>
      <c r="B23" s="1">
        <v>30</v>
      </c>
      <c r="C23" s="1" t="s">
        <v>11</v>
      </c>
      <c r="D23" s="1">
        <v>32.4</v>
      </c>
      <c r="E23" s="1">
        <v>1</v>
      </c>
      <c r="F23" s="1" t="s">
        <v>16</v>
      </c>
      <c r="G23" s="1" t="s">
        <v>13</v>
      </c>
      <c r="H23" s="4">
        <v>4149.7359999999999</v>
      </c>
      <c r="I23" s="1" t="s">
        <v>25</v>
      </c>
      <c r="J23" s="1" t="s">
        <v>36</v>
      </c>
      <c r="K23" s="1" t="s">
        <v>34</v>
      </c>
    </row>
    <row r="24" spans="1:11" x14ac:dyDescent="0.3">
      <c r="A24" s="1">
        <v>184</v>
      </c>
      <c r="B24" s="1">
        <v>18</v>
      </c>
      <c r="C24" s="1" t="s">
        <v>15</v>
      </c>
      <c r="D24" s="1">
        <v>34.1</v>
      </c>
      <c r="E24" s="1">
        <v>0</v>
      </c>
      <c r="F24" s="1" t="s">
        <v>16</v>
      </c>
      <c r="G24" s="1" t="s">
        <v>17</v>
      </c>
      <c r="H24" s="4">
        <v>1137.011</v>
      </c>
      <c r="I24" s="1" t="s">
        <v>26</v>
      </c>
      <c r="J24" s="1" t="s">
        <v>36</v>
      </c>
      <c r="K24" s="1" t="s">
        <v>34</v>
      </c>
    </row>
    <row r="25" spans="1:11" x14ac:dyDescent="0.3">
      <c r="A25" s="1">
        <v>144</v>
      </c>
      <c r="B25" s="1">
        <v>34</v>
      </c>
      <c r="C25" s="1" t="s">
        <v>11</v>
      </c>
      <c r="D25" s="1">
        <v>31.92</v>
      </c>
      <c r="E25" s="1">
        <v>1</v>
      </c>
      <c r="F25" s="1" t="s">
        <v>12</v>
      </c>
      <c r="G25" s="1" t="s">
        <v>24</v>
      </c>
      <c r="H25" s="4">
        <v>37701.876799999998</v>
      </c>
      <c r="I25" s="1" t="s">
        <v>21</v>
      </c>
      <c r="J25" s="1" t="s">
        <v>33</v>
      </c>
      <c r="K25" s="1" t="s">
        <v>34</v>
      </c>
    </row>
    <row r="26" spans="1:11" x14ac:dyDescent="0.3">
      <c r="A26" s="1">
        <v>15</v>
      </c>
      <c r="B26" s="1">
        <v>37</v>
      </c>
      <c r="C26" s="1" t="s">
        <v>15</v>
      </c>
      <c r="D26" s="1">
        <v>28.024999999999999</v>
      </c>
      <c r="E26" s="1">
        <v>2</v>
      </c>
      <c r="F26" s="1" t="s">
        <v>16</v>
      </c>
      <c r="G26" s="1" t="s">
        <v>20</v>
      </c>
      <c r="H26" s="4">
        <v>6203.90175</v>
      </c>
      <c r="I26" s="1" t="s">
        <v>22</v>
      </c>
      <c r="J26" s="1" t="s">
        <v>33</v>
      </c>
      <c r="K26" s="1" t="s">
        <v>32</v>
      </c>
    </row>
    <row r="27" spans="1:11" x14ac:dyDescent="0.3">
      <c r="A27" s="1">
        <v>299</v>
      </c>
      <c r="B27" s="1">
        <v>59</v>
      </c>
      <c r="C27" s="1" t="s">
        <v>11</v>
      </c>
      <c r="D27" s="1">
        <v>27.72</v>
      </c>
      <c r="E27" s="1">
        <v>3</v>
      </c>
      <c r="F27" s="1" t="s">
        <v>16</v>
      </c>
      <c r="G27" s="1" t="s">
        <v>17</v>
      </c>
      <c r="H27" s="4">
        <v>14001.1338</v>
      </c>
      <c r="I27" s="1" t="s">
        <v>14</v>
      </c>
      <c r="J27" s="1" t="s">
        <v>31</v>
      </c>
      <c r="K27" s="1" t="s">
        <v>32</v>
      </c>
    </row>
    <row r="28" spans="1:11" x14ac:dyDescent="0.3">
      <c r="A28" s="1">
        <v>160</v>
      </c>
      <c r="B28" s="1">
        <v>63</v>
      </c>
      <c r="C28" s="1" t="s">
        <v>11</v>
      </c>
      <c r="D28" s="1">
        <v>23.085000000000001</v>
      </c>
      <c r="E28" s="1">
        <v>0</v>
      </c>
      <c r="F28" s="1" t="s">
        <v>16</v>
      </c>
      <c r="G28" s="1" t="s">
        <v>24</v>
      </c>
      <c r="H28" s="4">
        <v>14451.835150000001</v>
      </c>
      <c r="I28" s="1" t="s">
        <v>14</v>
      </c>
      <c r="J28" s="1" t="s">
        <v>31</v>
      </c>
      <c r="K28" s="1" t="s">
        <v>35</v>
      </c>
    </row>
    <row r="29" spans="1:11" x14ac:dyDescent="0.3">
      <c r="A29" s="1">
        <v>11</v>
      </c>
      <c r="B29" s="1">
        <v>55</v>
      </c>
      <c r="C29" s="1" t="s">
        <v>11</v>
      </c>
      <c r="D29" s="1">
        <v>32.774999999999999</v>
      </c>
      <c r="E29" s="1">
        <v>2</v>
      </c>
      <c r="F29" s="1" t="s">
        <v>16</v>
      </c>
      <c r="G29" s="1" t="s">
        <v>20</v>
      </c>
      <c r="H29" s="4">
        <v>12268.632250000001</v>
      </c>
      <c r="I29" s="1" t="s">
        <v>27</v>
      </c>
      <c r="J29" s="1" t="s">
        <v>36</v>
      </c>
      <c r="K29" s="1" t="s">
        <v>34</v>
      </c>
    </row>
    <row r="30" spans="1:11" x14ac:dyDescent="0.3">
      <c r="A30" s="1">
        <v>217</v>
      </c>
      <c r="B30" s="1">
        <v>23</v>
      </c>
      <c r="C30" s="1" t="s">
        <v>15</v>
      </c>
      <c r="D30" s="1">
        <v>17.385000000000002</v>
      </c>
      <c r="E30" s="1">
        <v>1</v>
      </c>
      <c r="F30" s="1" t="s">
        <v>16</v>
      </c>
      <c r="G30" s="1" t="s">
        <v>20</v>
      </c>
      <c r="H30" s="4">
        <v>2775.1921499999999</v>
      </c>
      <c r="I30" s="1" t="s">
        <v>28</v>
      </c>
      <c r="J30" s="1" t="s">
        <v>37</v>
      </c>
      <c r="K30" s="1" t="s">
        <v>38</v>
      </c>
    </row>
    <row r="31" spans="1:11" x14ac:dyDescent="0.3">
      <c r="A31" s="1">
        <v>127</v>
      </c>
      <c r="B31" s="1">
        <v>31</v>
      </c>
      <c r="C31" s="1" t="s">
        <v>15</v>
      </c>
      <c r="D31" s="1">
        <v>36.299999999999997</v>
      </c>
      <c r="E31" s="1">
        <v>2</v>
      </c>
      <c r="F31" s="1" t="s">
        <v>12</v>
      </c>
      <c r="G31" s="1" t="s">
        <v>13</v>
      </c>
      <c r="H31" s="4">
        <v>38711</v>
      </c>
      <c r="I31" s="1" t="s">
        <v>29</v>
      </c>
      <c r="J31" s="1" t="s">
        <v>37</v>
      </c>
      <c r="K31" s="1" t="s">
        <v>34</v>
      </c>
    </row>
    <row r="32" spans="1:11" x14ac:dyDescent="0.3">
      <c r="A32" s="1">
        <v>30</v>
      </c>
      <c r="B32" s="1">
        <v>22</v>
      </c>
      <c r="C32" s="1" t="s">
        <v>15</v>
      </c>
      <c r="D32" s="1">
        <v>35.6</v>
      </c>
      <c r="E32" s="1">
        <v>0</v>
      </c>
      <c r="F32" s="1" t="s">
        <v>12</v>
      </c>
      <c r="G32" s="1" t="s">
        <v>13</v>
      </c>
      <c r="H32" s="4">
        <v>35585.576000000001</v>
      </c>
      <c r="I32" s="1" t="s">
        <v>30</v>
      </c>
      <c r="J32" s="1" t="s">
        <v>37</v>
      </c>
      <c r="K32" s="1" t="s">
        <v>34</v>
      </c>
    </row>
    <row r="33" spans="1:11" x14ac:dyDescent="0.3">
      <c r="A33" s="1">
        <v>31</v>
      </c>
      <c r="B33" s="1">
        <v>18</v>
      </c>
      <c r="C33" s="1" t="s">
        <v>11</v>
      </c>
      <c r="D33" s="1">
        <v>26.315000000000001</v>
      </c>
      <c r="E33" s="1">
        <v>0</v>
      </c>
      <c r="F33" s="1" t="s">
        <v>16</v>
      </c>
      <c r="G33" s="1" t="s">
        <v>24</v>
      </c>
      <c r="H33" s="4">
        <v>2198.1898500000002</v>
      </c>
      <c r="I33" s="1" t="s">
        <v>19</v>
      </c>
      <c r="J33" s="1" t="s">
        <v>31</v>
      </c>
      <c r="K33" s="1" t="s">
        <v>32</v>
      </c>
    </row>
    <row r="34" spans="1:11" x14ac:dyDescent="0.3">
      <c r="A34" s="1">
        <v>16</v>
      </c>
      <c r="B34" s="1">
        <v>19</v>
      </c>
      <c r="C34" s="1" t="s">
        <v>11</v>
      </c>
      <c r="D34" s="1">
        <v>28.6</v>
      </c>
      <c r="E34" s="1">
        <v>5</v>
      </c>
      <c r="F34" s="1" t="s">
        <v>16</v>
      </c>
      <c r="G34" s="1" t="s">
        <v>13</v>
      </c>
      <c r="H34" s="4">
        <v>4687.7969999999996</v>
      </c>
      <c r="I34" s="1" t="s">
        <v>21</v>
      </c>
      <c r="J34" s="1" t="s">
        <v>33</v>
      </c>
      <c r="K34" s="1" t="s">
        <v>32</v>
      </c>
    </row>
    <row r="35" spans="1:11" x14ac:dyDescent="0.3">
      <c r="A35" s="1">
        <v>3</v>
      </c>
      <c r="B35" s="1">
        <v>63</v>
      </c>
      <c r="C35" s="1" t="s">
        <v>15</v>
      </c>
      <c r="D35" s="1">
        <v>28.31</v>
      </c>
      <c r="E35" s="1">
        <v>0</v>
      </c>
      <c r="F35" s="1" t="s">
        <v>16</v>
      </c>
      <c r="G35" s="1" t="s">
        <v>20</v>
      </c>
      <c r="H35" s="4">
        <v>13770.097900000001</v>
      </c>
      <c r="I35" s="1" t="s">
        <v>22</v>
      </c>
      <c r="J35" s="1" t="s">
        <v>33</v>
      </c>
      <c r="K35" s="1" t="s">
        <v>32</v>
      </c>
    </row>
    <row r="36" spans="1:11" x14ac:dyDescent="0.3">
      <c r="A36" s="1">
        <v>281</v>
      </c>
      <c r="B36" s="1">
        <v>28</v>
      </c>
      <c r="C36" s="1" t="s">
        <v>15</v>
      </c>
      <c r="D36" s="1">
        <v>36.4</v>
      </c>
      <c r="E36" s="1">
        <v>1</v>
      </c>
      <c r="F36" s="1" t="s">
        <v>12</v>
      </c>
      <c r="G36" s="1" t="s">
        <v>13</v>
      </c>
      <c r="H36" s="4">
        <v>51194.559139999998</v>
      </c>
      <c r="I36" s="1" t="s">
        <v>14</v>
      </c>
      <c r="J36" s="1" t="s">
        <v>31</v>
      </c>
      <c r="K36" s="1" t="s">
        <v>34</v>
      </c>
    </row>
    <row r="37" spans="1:11" x14ac:dyDescent="0.3">
      <c r="A37" s="1">
        <v>17</v>
      </c>
      <c r="B37" s="1">
        <v>19</v>
      </c>
      <c r="C37" s="1" t="s">
        <v>15</v>
      </c>
      <c r="D37" s="1">
        <v>20.425000000000001</v>
      </c>
      <c r="E37" s="1">
        <v>0</v>
      </c>
      <c r="F37" s="1" t="s">
        <v>16</v>
      </c>
      <c r="G37" s="1" t="s">
        <v>20</v>
      </c>
      <c r="H37" s="4">
        <v>1625.4337499999999</v>
      </c>
      <c r="I37" s="1" t="s">
        <v>14</v>
      </c>
      <c r="J37" s="1" t="s">
        <v>31</v>
      </c>
      <c r="K37" s="1" t="s">
        <v>35</v>
      </c>
    </row>
    <row r="38" spans="1:11" x14ac:dyDescent="0.3">
      <c r="A38" s="1">
        <v>296</v>
      </c>
      <c r="B38" s="1">
        <v>62</v>
      </c>
      <c r="C38" s="1" t="s">
        <v>11</v>
      </c>
      <c r="D38" s="1">
        <v>32.965000000000003</v>
      </c>
      <c r="E38" s="1">
        <v>3</v>
      </c>
      <c r="F38" s="1" t="s">
        <v>16</v>
      </c>
      <c r="G38" s="1" t="s">
        <v>20</v>
      </c>
      <c r="H38" s="4">
        <v>15612.19335</v>
      </c>
      <c r="I38" s="1" t="s">
        <v>23</v>
      </c>
      <c r="J38" s="1" t="s">
        <v>31</v>
      </c>
      <c r="K38" s="1" t="s">
        <v>34</v>
      </c>
    </row>
    <row r="39" spans="1:11" x14ac:dyDescent="0.3">
      <c r="A39" s="1">
        <v>237</v>
      </c>
      <c r="B39" s="1">
        <v>26</v>
      </c>
      <c r="C39" s="1" t="s">
        <v>15</v>
      </c>
      <c r="D39" s="1">
        <v>20.8</v>
      </c>
      <c r="E39" s="1">
        <v>0</v>
      </c>
      <c r="F39" s="1" t="s">
        <v>16</v>
      </c>
      <c r="G39" s="1" t="s">
        <v>13</v>
      </c>
      <c r="H39" s="4">
        <v>2302.3000000000002</v>
      </c>
      <c r="I39" s="1" t="s">
        <v>25</v>
      </c>
      <c r="J39" s="1" t="s">
        <v>36</v>
      </c>
      <c r="K39" s="1" t="s">
        <v>35</v>
      </c>
    </row>
    <row r="40" spans="1:11" x14ac:dyDescent="0.3">
      <c r="A40" s="1">
        <v>101</v>
      </c>
      <c r="B40" s="1">
        <v>35</v>
      </c>
      <c r="C40" s="1" t="s">
        <v>15</v>
      </c>
      <c r="D40" s="1">
        <v>36.67</v>
      </c>
      <c r="E40" s="1">
        <v>1</v>
      </c>
      <c r="F40" s="1" t="s">
        <v>12</v>
      </c>
      <c r="G40" s="1" t="s">
        <v>24</v>
      </c>
      <c r="H40" s="4">
        <v>39774.276299999998</v>
      </c>
      <c r="I40" s="1" t="s">
        <v>26</v>
      </c>
      <c r="J40" s="1" t="s">
        <v>36</v>
      </c>
      <c r="K40" s="1" t="s">
        <v>34</v>
      </c>
    </row>
    <row r="41" spans="1:11" x14ac:dyDescent="0.3">
      <c r="A41" s="1">
        <v>238</v>
      </c>
      <c r="B41" s="1">
        <v>60</v>
      </c>
      <c r="C41" s="1" t="s">
        <v>15</v>
      </c>
      <c r="D41" s="1">
        <v>39.9</v>
      </c>
      <c r="E41" s="1">
        <v>0</v>
      </c>
      <c r="F41" s="1" t="s">
        <v>12</v>
      </c>
      <c r="G41" s="1" t="s">
        <v>13</v>
      </c>
      <c r="H41" s="4">
        <v>48173.360999999997</v>
      </c>
      <c r="I41" s="1" t="s">
        <v>14</v>
      </c>
      <c r="J41" s="1" t="s">
        <v>31</v>
      </c>
      <c r="K41" s="1" t="s">
        <v>34</v>
      </c>
    </row>
    <row r="42" spans="1:11" x14ac:dyDescent="0.3">
      <c r="A42" s="1">
        <v>199</v>
      </c>
      <c r="B42" s="1">
        <v>24</v>
      </c>
      <c r="C42" s="1" t="s">
        <v>11</v>
      </c>
      <c r="D42" s="1">
        <v>26.6</v>
      </c>
      <c r="E42" s="1">
        <v>0</v>
      </c>
      <c r="F42" s="1" t="s">
        <v>16</v>
      </c>
      <c r="G42" s="1" t="s">
        <v>24</v>
      </c>
      <c r="H42" s="4">
        <v>3046.0619999999999</v>
      </c>
      <c r="I42" s="1" t="s">
        <v>14</v>
      </c>
      <c r="J42" s="1" t="s">
        <v>31</v>
      </c>
      <c r="K42" s="1" t="s">
        <v>32</v>
      </c>
    </row>
    <row r="43" spans="1:11" x14ac:dyDescent="0.3">
      <c r="A43" s="1">
        <v>25</v>
      </c>
      <c r="B43" s="1">
        <v>31</v>
      </c>
      <c r="C43" s="1" t="s">
        <v>11</v>
      </c>
      <c r="D43" s="1">
        <v>36.630000000000003</v>
      </c>
      <c r="E43" s="1">
        <v>2</v>
      </c>
      <c r="F43" s="1" t="s">
        <v>16</v>
      </c>
      <c r="G43" s="1" t="s">
        <v>17</v>
      </c>
      <c r="H43" s="4">
        <v>4949.7587000000003</v>
      </c>
      <c r="I43" s="1" t="s">
        <v>27</v>
      </c>
      <c r="J43" s="1" t="s">
        <v>36</v>
      </c>
      <c r="K43" s="1" t="s">
        <v>34</v>
      </c>
    </row>
    <row r="44" spans="1:11" x14ac:dyDescent="0.3">
      <c r="A44" s="1">
        <v>9</v>
      </c>
      <c r="B44" s="1">
        <v>41</v>
      </c>
      <c r="C44" s="1" t="s">
        <v>15</v>
      </c>
      <c r="D44" s="1">
        <v>21.78</v>
      </c>
      <c r="E44" s="1">
        <v>1</v>
      </c>
      <c r="F44" s="1" t="s">
        <v>16</v>
      </c>
      <c r="G44" s="1" t="s">
        <v>17</v>
      </c>
      <c r="H44" s="4">
        <v>6272.4772000000003</v>
      </c>
      <c r="I44" s="1" t="s">
        <v>28</v>
      </c>
      <c r="J44" s="1" t="s">
        <v>37</v>
      </c>
      <c r="K44" s="1" t="s">
        <v>35</v>
      </c>
    </row>
    <row r="45" spans="1:11" x14ac:dyDescent="0.3">
      <c r="A45" s="1">
        <v>53</v>
      </c>
      <c r="B45" s="1">
        <v>37</v>
      </c>
      <c r="C45" s="1" t="s">
        <v>11</v>
      </c>
      <c r="D45" s="1">
        <v>30.8</v>
      </c>
      <c r="E45" s="1">
        <v>2</v>
      </c>
      <c r="F45" s="1" t="s">
        <v>16</v>
      </c>
      <c r="G45" s="1" t="s">
        <v>17</v>
      </c>
      <c r="H45" s="4">
        <v>6313.759</v>
      </c>
      <c r="I45" s="1" t="s">
        <v>29</v>
      </c>
      <c r="J45" s="1" t="s">
        <v>37</v>
      </c>
      <c r="K45" s="1" t="s">
        <v>34</v>
      </c>
    </row>
    <row r="46" spans="1:11" x14ac:dyDescent="0.3">
      <c r="A46" s="1">
        <v>123</v>
      </c>
      <c r="B46" s="1">
        <v>38</v>
      </c>
      <c r="C46" s="1" t="s">
        <v>15</v>
      </c>
      <c r="D46" s="1">
        <v>37.049999999999997</v>
      </c>
      <c r="E46" s="1">
        <v>1</v>
      </c>
      <c r="F46" s="1" t="s">
        <v>16</v>
      </c>
      <c r="G46" s="1" t="s">
        <v>24</v>
      </c>
      <c r="H46" s="4">
        <v>6079.6715000000004</v>
      </c>
      <c r="I46" s="1" t="s">
        <v>30</v>
      </c>
      <c r="J46" s="1" t="s">
        <v>37</v>
      </c>
      <c r="K46" s="1" t="s">
        <v>34</v>
      </c>
    </row>
    <row r="47" spans="1:11" x14ac:dyDescent="0.3">
      <c r="A47" s="1">
        <v>182</v>
      </c>
      <c r="B47" s="1">
        <v>55</v>
      </c>
      <c r="C47" s="1" t="s">
        <v>15</v>
      </c>
      <c r="D47" s="1">
        <v>37.299999999999997</v>
      </c>
      <c r="E47" s="1">
        <v>0</v>
      </c>
      <c r="F47" s="1" t="s">
        <v>16</v>
      </c>
      <c r="G47" s="1" t="s">
        <v>13</v>
      </c>
      <c r="H47" s="4">
        <v>20630.283510000001</v>
      </c>
      <c r="I47" s="1" t="s">
        <v>19</v>
      </c>
      <c r="J47" s="1" t="s">
        <v>31</v>
      </c>
      <c r="K47" s="1" t="s">
        <v>34</v>
      </c>
    </row>
    <row r="48" spans="1:11" x14ac:dyDescent="0.3">
      <c r="A48" s="1">
        <v>2</v>
      </c>
      <c r="B48" s="1">
        <v>18</v>
      </c>
      <c r="C48" s="1" t="s">
        <v>11</v>
      </c>
      <c r="D48" s="1">
        <v>38.664999999999999</v>
      </c>
      <c r="E48" s="1">
        <v>2</v>
      </c>
      <c r="F48" s="1" t="s">
        <v>16</v>
      </c>
      <c r="G48" s="1" t="s">
        <v>24</v>
      </c>
      <c r="H48" s="4">
        <v>3393.35635</v>
      </c>
      <c r="I48" s="1" t="s">
        <v>21</v>
      </c>
      <c r="J48" s="1" t="s">
        <v>33</v>
      </c>
      <c r="K48" s="1" t="s">
        <v>34</v>
      </c>
    </row>
    <row r="49" spans="1:11" x14ac:dyDescent="0.3">
      <c r="A49" s="1">
        <v>109</v>
      </c>
      <c r="B49" s="1">
        <v>28</v>
      </c>
      <c r="C49" s="1" t="s">
        <v>11</v>
      </c>
      <c r="D49" s="1">
        <v>34.770000000000003</v>
      </c>
      <c r="E49" s="1">
        <v>0</v>
      </c>
      <c r="F49" s="1" t="s">
        <v>16</v>
      </c>
      <c r="G49" s="1" t="s">
        <v>20</v>
      </c>
      <c r="H49" s="4">
        <v>3556.9223000000002</v>
      </c>
      <c r="I49" s="1" t="s">
        <v>22</v>
      </c>
      <c r="J49" s="1" t="s">
        <v>33</v>
      </c>
      <c r="K49" s="1" t="s">
        <v>34</v>
      </c>
    </row>
    <row r="50" spans="1:11" x14ac:dyDescent="0.3">
      <c r="A50" s="1">
        <v>208</v>
      </c>
      <c r="B50" s="1">
        <v>60</v>
      </c>
      <c r="C50" s="1" t="s">
        <v>11</v>
      </c>
      <c r="D50" s="1">
        <v>24.53</v>
      </c>
      <c r="E50" s="1">
        <v>0</v>
      </c>
      <c r="F50" s="1" t="s">
        <v>16</v>
      </c>
      <c r="G50" s="1" t="s">
        <v>17</v>
      </c>
      <c r="H50" s="4">
        <v>12629.896699999999</v>
      </c>
      <c r="I50" s="1" t="s">
        <v>19</v>
      </c>
      <c r="J50" s="1" t="s">
        <v>31</v>
      </c>
      <c r="K50" s="1" t="s">
        <v>35</v>
      </c>
    </row>
    <row r="51" spans="1:11" x14ac:dyDescent="0.3">
      <c r="A51" s="1">
        <v>145</v>
      </c>
      <c r="B51" s="1">
        <v>36</v>
      </c>
      <c r="C51" s="1" t="s">
        <v>15</v>
      </c>
      <c r="D51" s="1">
        <v>35.200000000000003</v>
      </c>
      <c r="E51" s="1">
        <v>1</v>
      </c>
      <c r="F51" s="1" t="s">
        <v>12</v>
      </c>
      <c r="G51" s="1" t="s">
        <v>17</v>
      </c>
      <c r="H51" s="4">
        <v>38709.175999999999</v>
      </c>
      <c r="I51" s="1" t="s">
        <v>21</v>
      </c>
      <c r="J51" s="1" t="s">
        <v>33</v>
      </c>
      <c r="K51" s="1" t="s">
        <v>34</v>
      </c>
    </row>
    <row r="52" spans="1:11" x14ac:dyDescent="0.3">
      <c r="A52" s="1">
        <v>256</v>
      </c>
      <c r="B52" s="1">
        <v>18</v>
      </c>
      <c r="C52" s="1" t="s">
        <v>11</v>
      </c>
      <c r="D52" s="1">
        <v>35.625</v>
      </c>
      <c r="E52" s="1">
        <v>0</v>
      </c>
      <c r="F52" s="1" t="s">
        <v>16</v>
      </c>
      <c r="G52" s="1" t="s">
        <v>24</v>
      </c>
      <c r="H52" s="4">
        <v>2211.1307499999998</v>
      </c>
      <c r="I52" s="1" t="s">
        <v>22</v>
      </c>
      <c r="J52" s="1" t="s">
        <v>33</v>
      </c>
      <c r="K52" s="1" t="s">
        <v>34</v>
      </c>
    </row>
    <row r="53" spans="1:11" x14ac:dyDescent="0.3">
      <c r="A53" s="1">
        <v>250</v>
      </c>
      <c r="B53" s="1">
        <v>21</v>
      </c>
      <c r="C53" s="1" t="s">
        <v>11</v>
      </c>
      <c r="D53" s="1">
        <v>33.630000000000003</v>
      </c>
      <c r="E53" s="1">
        <v>2</v>
      </c>
      <c r="F53" s="1" t="s">
        <v>16</v>
      </c>
      <c r="G53" s="1" t="s">
        <v>20</v>
      </c>
      <c r="H53" s="4">
        <v>3579.8287</v>
      </c>
      <c r="I53" s="1" t="s">
        <v>14</v>
      </c>
      <c r="J53" s="1" t="s">
        <v>31</v>
      </c>
      <c r="K53" s="1" t="s">
        <v>34</v>
      </c>
    </row>
    <row r="54" spans="1:11" x14ac:dyDescent="0.3">
      <c r="A54" s="1">
        <v>220</v>
      </c>
      <c r="B54" s="1">
        <v>48</v>
      </c>
      <c r="C54" s="1" t="s">
        <v>15</v>
      </c>
      <c r="D54" s="1">
        <v>28</v>
      </c>
      <c r="E54" s="1">
        <v>1</v>
      </c>
      <c r="F54" s="1" t="s">
        <v>12</v>
      </c>
      <c r="G54" s="1" t="s">
        <v>13</v>
      </c>
      <c r="H54" s="4">
        <v>23568.272000000001</v>
      </c>
      <c r="I54" s="1" t="s">
        <v>14</v>
      </c>
      <c r="J54" s="1" t="s">
        <v>31</v>
      </c>
      <c r="K54" s="1" t="s">
        <v>32</v>
      </c>
    </row>
    <row r="55" spans="1:11" x14ac:dyDescent="0.3">
      <c r="A55" s="1">
        <v>291</v>
      </c>
      <c r="B55" s="1">
        <v>36</v>
      </c>
      <c r="C55" s="1" t="s">
        <v>15</v>
      </c>
      <c r="D55" s="1">
        <v>34.43</v>
      </c>
      <c r="E55" s="1">
        <v>0</v>
      </c>
      <c r="F55" s="1" t="s">
        <v>12</v>
      </c>
      <c r="G55" s="1" t="s">
        <v>17</v>
      </c>
      <c r="H55" s="4">
        <v>37742.575700000001</v>
      </c>
      <c r="I55" s="1" t="s">
        <v>23</v>
      </c>
      <c r="J55" s="1" t="s">
        <v>31</v>
      </c>
      <c r="K55" s="1" t="s">
        <v>34</v>
      </c>
    </row>
    <row r="56" spans="1:11" x14ac:dyDescent="0.3">
      <c r="A56" s="1">
        <v>285</v>
      </c>
      <c r="B56" s="1">
        <v>40</v>
      </c>
      <c r="C56" s="1" t="s">
        <v>11</v>
      </c>
      <c r="D56" s="1">
        <v>28.69</v>
      </c>
      <c r="E56" s="1">
        <v>3</v>
      </c>
      <c r="F56" s="1" t="s">
        <v>16</v>
      </c>
      <c r="G56" s="1" t="s">
        <v>20</v>
      </c>
      <c r="H56" s="4">
        <v>8059.6791000000003</v>
      </c>
      <c r="I56" s="1" t="s">
        <v>25</v>
      </c>
      <c r="J56" s="1" t="s">
        <v>36</v>
      </c>
      <c r="K56" s="1" t="s">
        <v>32</v>
      </c>
    </row>
    <row r="57" spans="1:11" x14ac:dyDescent="0.3">
      <c r="A57" s="1">
        <v>116</v>
      </c>
      <c r="B57" s="1">
        <v>58</v>
      </c>
      <c r="C57" s="1" t="s">
        <v>15</v>
      </c>
      <c r="D57" s="1">
        <v>36.954999999999998</v>
      </c>
      <c r="E57" s="1">
        <v>2</v>
      </c>
      <c r="F57" s="1" t="s">
        <v>12</v>
      </c>
      <c r="G57" s="1" t="s">
        <v>20</v>
      </c>
      <c r="H57" s="4">
        <v>47496.494449999998</v>
      </c>
      <c r="I57" s="1" t="s">
        <v>26</v>
      </c>
      <c r="J57" s="1" t="s">
        <v>36</v>
      </c>
      <c r="K57" s="1" t="s">
        <v>34</v>
      </c>
    </row>
    <row r="58" spans="1:11" x14ac:dyDescent="0.3">
      <c r="A58" s="1">
        <v>70</v>
      </c>
      <c r="B58" s="1">
        <v>58</v>
      </c>
      <c r="C58" s="1" t="s">
        <v>11</v>
      </c>
      <c r="D58" s="1">
        <v>31.824999999999999</v>
      </c>
      <c r="E58" s="1">
        <v>2</v>
      </c>
      <c r="F58" s="1" t="s">
        <v>16</v>
      </c>
      <c r="G58" s="1" t="s">
        <v>24</v>
      </c>
      <c r="H58" s="4">
        <v>13607.36875</v>
      </c>
      <c r="I58" s="1" t="s">
        <v>27</v>
      </c>
      <c r="J58" s="1" t="s">
        <v>36</v>
      </c>
      <c r="K58" s="1" t="s">
        <v>34</v>
      </c>
    </row>
    <row r="59" spans="1:11" x14ac:dyDescent="0.3">
      <c r="A59" s="1">
        <v>40</v>
      </c>
      <c r="B59" s="1">
        <v>18</v>
      </c>
      <c r="C59" s="1" t="s">
        <v>15</v>
      </c>
      <c r="D59" s="1">
        <v>31.68</v>
      </c>
      <c r="E59" s="1">
        <v>2</v>
      </c>
      <c r="F59" s="1" t="s">
        <v>12</v>
      </c>
      <c r="G59" s="1" t="s">
        <v>17</v>
      </c>
      <c r="H59" s="4">
        <v>34303.167200000004</v>
      </c>
      <c r="I59" s="1" t="s">
        <v>28</v>
      </c>
      <c r="J59" s="1" t="s">
        <v>37</v>
      </c>
      <c r="K59" s="1" t="s">
        <v>34</v>
      </c>
    </row>
    <row r="60" spans="1:11" x14ac:dyDescent="0.3">
      <c r="A60" s="1">
        <v>203</v>
      </c>
      <c r="B60" s="1">
        <v>53</v>
      </c>
      <c r="C60" s="1" t="s">
        <v>11</v>
      </c>
      <c r="D60" s="1">
        <v>22.88</v>
      </c>
      <c r="E60" s="1">
        <v>1</v>
      </c>
      <c r="F60" s="1" t="s">
        <v>12</v>
      </c>
      <c r="G60" s="1" t="s">
        <v>17</v>
      </c>
      <c r="H60" s="4">
        <v>23244.790199999999</v>
      </c>
      <c r="I60" s="1" t="s">
        <v>29</v>
      </c>
      <c r="J60" s="1" t="s">
        <v>37</v>
      </c>
      <c r="K60" s="1" t="s">
        <v>35</v>
      </c>
    </row>
    <row r="61" spans="1:11" x14ac:dyDescent="0.3">
      <c r="A61" s="1">
        <v>15</v>
      </c>
      <c r="B61" s="1">
        <v>34</v>
      </c>
      <c r="C61" s="1" t="s">
        <v>11</v>
      </c>
      <c r="D61" s="1">
        <v>37.335000000000001</v>
      </c>
      <c r="E61" s="1">
        <v>2</v>
      </c>
      <c r="F61" s="1" t="s">
        <v>16</v>
      </c>
      <c r="G61" s="1" t="s">
        <v>20</v>
      </c>
      <c r="H61" s="4">
        <v>5989.5236500000001</v>
      </c>
      <c r="I61" s="1" t="s">
        <v>30</v>
      </c>
      <c r="J61" s="1" t="s">
        <v>37</v>
      </c>
      <c r="K61" s="1" t="s">
        <v>34</v>
      </c>
    </row>
    <row r="62" spans="1:11" x14ac:dyDescent="0.3">
      <c r="A62" s="1">
        <v>131</v>
      </c>
      <c r="B62" s="1">
        <v>43</v>
      </c>
      <c r="C62" s="1" t="s">
        <v>15</v>
      </c>
      <c r="D62" s="1">
        <v>27.36</v>
      </c>
      <c r="E62" s="1">
        <v>3</v>
      </c>
      <c r="F62" s="1" t="s">
        <v>16</v>
      </c>
      <c r="G62" s="1" t="s">
        <v>24</v>
      </c>
      <c r="H62" s="4">
        <v>8606.2173999999995</v>
      </c>
      <c r="I62" s="1" t="s">
        <v>19</v>
      </c>
      <c r="J62" s="1" t="s">
        <v>31</v>
      </c>
      <c r="K62" s="1" t="s">
        <v>32</v>
      </c>
    </row>
    <row r="63" spans="1:11" x14ac:dyDescent="0.3">
      <c r="A63" s="1">
        <v>112</v>
      </c>
      <c r="B63" s="1">
        <v>25</v>
      </c>
      <c r="C63" s="1" t="s">
        <v>15</v>
      </c>
      <c r="D63" s="1">
        <v>33.659999999999997</v>
      </c>
      <c r="E63" s="1">
        <v>4</v>
      </c>
      <c r="F63" s="1" t="s">
        <v>16</v>
      </c>
      <c r="G63" s="1" t="s">
        <v>17</v>
      </c>
      <c r="H63" s="4">
        <v>4504.6624000000002</v>
      </c>
      <c r="I63" s="1" t="s">
        <v>21</v>
      </c>
      <c r="J63" s="1" t="s">
        <v>33</v>
      </c>
      <c r="K63" s="1" t="s">
        <v>34</v>
      </c>
    </row>
    <row r="64" spans="1:11" x14ac:dyDescent="0.3">
      <c r="A64" s="1">
        <v>193</v>
      </c>
      <c r="B64" s="1">
        <v>64</v>
      </c>
      <c r="C64" s="1" t="s">
        <v>15</v>
      </c>
      <c r="D64" s="1">
        <v>24.7</v>
      </c>
      <c r="E64" s="1">
        <v>1</v>
      </c>
      <c r="F64" s="1" t="s">
        <v>16</v>
      </c>
      <c r="G64" s="1" t="s">
        <v>20</v>
      </c>
      <c r="H64" s="4">
        <v>30166.618170000002</v>
      </c>
      <c r="I64" s="1" t="s">
        <v>22</v>
      </c>
      <c r="J64" s="1" t="s">
        <v>33</v>
      </c>
      <c r="K64" s="1" t="s">
        <v>35</v>
      </c>
    </row>
    <row r="65" spans="1:11" x14ac:dyDescent="0.3">
      <c r="A65" s="1">
        <v>292</v>
      </c>
      <c r="B65" s="1">
        <v>28</v>
      </c>
      <c r="C65" s="1" t="s">
        <v>11</v>
      </c>
      <c r="D65" s="1">
        <v>25.934999999999999</v>
      </c>
      <c r="E65" s="1">
        <v>1</v>
      </c>
      <c r="F65" s="1" t="s">
        <v>16</v>
      </c>
      <c r="G65" s="1" t="s">
        <v>20</v>
      </c>
      <c r="H65" s="4">
        <v>4133.6416499999996</v>
      </c>
      <c r="I65" s="1" t="s">
        <v>30</v>
      </c>
      <c r="J65" s="1" t="s">
        <v>37</v>
      </c>
      <c r="K65" s="1" t="s">
        <v>32</v>
      </c>
    </row>
    <row r="66" spans="1:11" x14ac:dyDescent="0.3">
      <c r="A66" s="1">
        <v>58</v>
      </c>
      <c r="B66" s="1">
        <v>20</v>
      </c>
      <c r="C66" s="1" t="s">
        <v>11</v>
      </c>
      <c r="D66" s="1">
        <v>22.42</v>
      </c>
      <c r="E66" s="1">
        <v>0</v>
      </c>
      <c r="F66" s="1" t="s">
        <v>12</v>
      </c>
      <c r="G66" s="1" t="s">
        <v>20</v>
      </c>
      <c r="H66" s="4">
        <v>14711.7438</v>
      </c>
      <c r="I66" s="1" t="s">
        <v>19</v>
      </c>
      <c r="J66" s="1" t="s">
        <v>31</v>
      </c>
      <c r="K66" s="1" t="s">
        <v>35</v>
      </c>
    </row>
    <row r="67" spans="1:11" x14ac:dyDescent="0.3">
      <c r="A67" s="1">
        <v>296</v>
      </c>
      <c r="B67" s="1">
        <v>19</v>
      </c>
      <c r="C67" s="1" t="s">
        <v>11</v>
      </c>
      <c r="D67" s="1">
        <v>28.9</v>
      </c>
      <c r="E67" s="1">
        <v>0</v>
      </c>
      <c r="F67" s="1" t="s">
        <v>16</v>
      </c>
      <c r="G67" s="1" t="s">
        <v>13</v>
      </c>
      <c r="H67" s="4">
        <v>1743.2139999999999</v>
      </c>
      <c r="I67" s="1" t="s">
        <v>21</v>
      </c>
      <c r="J67" s="1" t="s">
        <v>33</v>
      </c>
      <c r="K67" s="1" t="s">
        <v>32</v>
      </c>
    </row>
    <row r="68" spans="1:11" x14ac:dyDescent="0.3">
      <c r="A68" s="1">
        <v>169</v>
      </c>
      <c r="B68" s="1">
        <v>61</v>
      </c>
      <c r="C68" s="1" t="s">
        <v>11</v>
      </c>
      <c r="D68" s="1">
        <v>39.1</v>
      </c>
      <c r="E68" s="1">
        <v>2</v>
      </c>
      <c r="F68" s="1" t="s">
        <v>16</v>
      </c>
      <c r="G68" s="1" t="s">
        <v>13</v>
      </c>
      <c r="H68" s="4">
        <v>14235.072</v>
      </c>
      <c r="I68" s="1" t="s">
        <v>22</v>
      </c>
      <c r="J68" s="1" t="s">
        <v>33</v>
      </c>
      <c r="K68" s="1" t="s">
        <v>34</v>
      </c>
    </row>
    <row r="69" spans="1:11" x14ac:dyDescent="0.3">
      <c r="A69" s="1">
        <v>71</v>
      </c>
      <c r="B69" s="1">
        <v>40</v>
      </c>
      <c r="C69" s="1" t="s">
        <v>15</v>
      </c>
      <c r="D69" s="1">
        <v>26.315000000000001</v>
      </c>
      <c r="E69" s="1">
        <v>1</v>
      </c>
      <c r="F69" s="1" t="s">
        <v>16</v>
      </c>
      <c r="G69" s="1" t="s">
        <v>20</v>
      </c>
      <c r="H69" s="4">
        <v>6389.3778499999999</v>
      </c>
      <c r="I69" s="1" t="s">
        <v>19</v>
      </c>
      <c r="J69" s="1" t="s">
        <v>31</v>
      </c>
      <c r="K69" s="1" t="s">
        <v>32</v>
      </c>
    </row>
    <row r="70" spans="1:11" x14ac:dyDescent="0.3">
      <c r="A70" s="1">
        <v>85</v>
      </c>
      <c r="B70" s="1">
        <v>40</v>
      </c>
      <c r="C70" s="1" t="s">
        <v>11</v>
      </c>
      <c r="D70" s="1">
        <v>36.19</v>
      </c>
      <c r="E70" s="1">
        <v>0</v>
      </c>
      <c r="F70" s="1" t="s">
        <v>16</v>
      </c>
      <c r="G70" s="1" t="s">
        <v>17</v>
      </c>
      <c r="H70" s="4">
        <v>5920.1040999999996</v>
      </c>
      <c r="I70" s="1" t="s">
        <v>21</v>
      </c>
      <c r="J70" s="1" t="s">
        <v>33</v>
      </c>
      <c r="K70" s="1" t="s">
        <v>34</v>
      </c>
    </row>
    <row r="71" spans="1:11" x14ac:dyDescent="0.3">
      <c r="A71" s="1">
        <v>96</v>
      </c>
      <c r="B71" s="1">
        <v>28</v>
      </c>
      <c r="C71" s="1" t="s">
        <v>15</v>
      </c>
      <c r="D71" s="1">
        <v>23.98</v>
      </c>
      <c r="E71" s="1">
        <v>3</v>
      </c>
      <c r="F71" s="1" t="s">
        <v>12</v>
      </c>
      <c r="G71" s="1" t="s">
        <v>17</v>
      </c>
      <c r="H71" s="4">
        <v>17663.144199999999</v>
      </c>
      <c r="I71" s="1" t="s">
        <v>22</v>
      </c>
      <c r="J71" s="1" t="s">
        <v>33</v>
      </c>
      <c r="K71" s="1" t="s">
        <v>35</v>
      </c>
    </row>
    <row r="72" spans="1:11" x14ac:dyDescent="0.3">
      <c r="A72" s="1">
        <v>180</v>
      </c>
      <c r="B72" s="1">
        <v>27</v>
      </c>
      <c r="C72" s="1" t="s">
        <v>11</v>
      </c>
      <c r="D72" s="1">
        <v>24.75</v>
      </c>
      <c r="E72" s="1">
        <v>0</v>
      </c>
      <c r="F72" s="1" t="s">
        <v>12</v>
      </c>
      <c r="G72" s="1" t="s">
        <v>17</v>
      </c>
      <c r="H72" s="4">
        <v>16577.779500000001</v>
      </c>
      <c r="I72" s="1" t="s">
        <v>14</v>
      </c>
      <c r="J72" s="1" t="s">
        <v>31</v>
      </c>
      <c r="K72" s="1" t="s">
        <v>35</v>
      </c>
    </row>
    <row r="73" spans="1:11" x14ac:dyDescent="0.3">
      <c r="A73" s="1">
        <v>197</v>
      </c>
      <c r="B73" s="1">
        <v>31</v>
      </c>
      <c r="C73" s="1" t="s">
        <v>15</v>
      </c>
      <c r="D73" s="1">
        <v>28.5</v>
      </c>
      <c r="E73" s="1">
        <v>5</v>
      </c>
      <c r="F73" s="1" t="s">
        <v>16</v>
      </c>
      <c r="G73" s="1" t="s">
        <v>24</v>
      </c>
      <c r="H73" s="4">
        <v>6799.4579999999996</v>
      </c>
      <c r="I73" s="1" t="s">
        <v>14</v>
      </c>
      <c r="J73" s="1" t="s">
        <v>31</v>
      </c>
      <c r="K73" s="1" t="s">
        <v>32</v>
      </c>
    </row>
    <row r="74" spans="1:11" x14ac:dyDescent="0.3">
      <c r="A74" s="1">
        <v>161</v>
      </c>
      <c r="B74" s="1">
        <v>53</v>
      </c>
      <c r="C74" s="1" t="s">
        <v>11</v>
      </c>
      <c r="D74" s="1">
        <v>28.1</v>
      </c>
      <c r="E74" s="1">
        <v>3</v>
      </c>
      <c r="F74" s="1" t="s">
        <v>16</v>
      </c>
      <c r="G74" s="1" t="s">
        <v>13</v>
      </c>
      <c r="H74" s="4">
        <v>11741.726000000001</v>
      </c>
      <c r="I74" s="1" t="s">
        <v>23</v>
      </c>
      <c r="J74" s="1" t="s">
        <v>31</v>
      </c>
      <c r="K74" s="1" t="s">
        <v>32</v>
      </c>
    </row>
    <row r="75" spans="1:11" x14ac:dyDescent="0.3">
      <c r="A75" s="1">
        <v>9</v>
      </c>
      <c r="B75" s="1">
        <v>58</v>
      </c>
      <c r="C75" s="1" t="s">
        <v>15</v>
      </c>
      <c r="D75" s="1">
        <v>32.01</v>
      </c>
      <c r="E75" s="1">
        <v>1</v>
      </c>
      <c r="F75" s="1" t="s">
        <v>16</v>
      </c>
      <c r="G75" s="1" t="s">
        <v>17</v>
      </c>
      <c r="H75" s="4">
        <v>11946.625899999999</v>
      </c>
      <c r="I75" s="1" t="s">
        <v>21</v>
      </c>
      <c r="J75" s="1" t="s">
        <v>33</v>
      </c>
      <c r="K75" s="1" t="s">
        <v>34</v>
      </c>
    </row>
    <row r="76" spans="1:11" x14ac:dyDescent="0.3">
      <c r="A76" s="1">
        <v>261</v>
      </c>
      <c r="B76" s="1">
        <v>44</v>
      </c>
      <c r="C76" s="1" t="s">
        <v>15</v>
      </c>
      <c r="D76" s="1">
        <v>27.4</v>
      </c>
      <c r="E76" s="1">
        <v>2</v>
      </c>
      <c r="F76" s="1" t="s">
        <v>16</v>
      </c>
      <c r="G76" s="1" t="s">
        <v>13</v>
      </c>
      <c r="H76" s="4">
        <v>7726.8540000000003</v>
      </c>
      <c r="I76" s="1" t="s">
        <v>22</v>
      </c>
      <c r="J76" s="1" t="s">
        <v>33</v>
      </c>
      <c r="K76" s="1" t="s">
        <v>32</v>
      </c>
    </row>
    <row r="77" spans="1:11" x14ac:dyDescent="0.3">
      <c r="A77" s="1">
        <v>137</v>
      </c>
      <c r="B77" s="1">
        <v>57</v>
      </c>
      <c r="C77" s="1" t="s">
        <v>15</v>
      </c>
      <c r="D77" s="1">
        <v>34.01</v>
      </c>
      <c r="E77" s="1">
        <v>0</v>
      </c>
      <c r="F77" s="1" t="s">
        <v>16</v>
      </c>
      <c r="G77" s="1" t="s">
        <v>20</v>
      </c>
      <c r="H77" s="4">
        <v>11356.660900000001</v>
      </c>
      <c r="I77" s="1" t="s">
        <v>30</v>
      </c>
      <c r="J77" s="1" t="s">
        <v>37</v>
      </c>
      <c r="K77" s="1" t="s">
        <v>34</v>
      </c>
    </row>
    <row r="78" spans="1:11" x14ac:dyDescent="0.3">
      <c r="A78" s="1">
        <v>252</v>
      </c>
      <c r="B78" s="1">
        <v>29</v>
      </c>
      <c r="C78" s="1" t="s">
        <v>11</v>
      </c>
      <c r="D78" s="1">
        <v>29.59</v>
      </c>
      <c r="E78" s="1">
        <v>1</v>
      </c>
      <c r="F78" s="1" t="s">
        <v>16</v>
      </c>
      <c r="G78" s="1" t="s">
        <v>17</v>
      </c>
      <c r="H78" s="4">
        <v>3947.4131000000002</v>
      </c>
      <c r="I78" s="1" t="s">
        <v>19</v>
      </c>
      <c r="J78" s="1" t="s">
        <v>31</v>
      </c>
      <c r="K78" s="1" t="s">
        <v>32</v>
      </c>
    </row>
    <row r="79" spans="1:11" x14ac:dyDescent="0.3">
      <c r="A79" s="1">
        <v>191</v>
      </c>
      <c r="B79" s="1">
        <v>21</v>
      </c>
      <c r="C79" s="1" t="s">
        <v>15</v>
      </c>
      <c r="D79" s="1">
        <v>35.53</v>
      </c>
      <c r="E79" s="1">
        <v>0</v>
      </c>
      <c r="F79" s="1" t="s">
        <v>16</v>
      </c>
      <c r="G79" s="1" t="s">
        <v>17</v>
      </c>
      <c r="H79" s="4">
        <v>1532.4697000000001</v>
      </c>
      <c r="I79" s="1" t="s">
        <v>21</v>
      </c>
      <c r="J79" s="1" t="s">
        <v>33</v>
      </c>
      <c r="K79" s="1" t="s">
        <v>34</v>
      </c>
    </row>
    <row r="80" spans="1:11" x14ac:dyDescent="0.3">
      <c r="A80" s="1">
        <v>58</v>
      </c>
      <c r="B80" s="1">
        <v>22</v>
      </c>
      <c r="C80" s="1" t="s">
        <v>11</v>
      </c>
      <c r="D80" s="1">
        <v>39.805</v>
      </c>
      <c r="E80" s="1">
        <v>0</v>
      </c>
      <c r="F80" s="1" t="s">
        <v>16</v>
      </c>
      <c r="G80" s="1" t="s">
        <v>24</v>
      </c>
      <c r="H80" s="4">
        <v>2755.0209500000001</v>
      </c>
      <c r="I80" s="1" t="s">
        <v>22</v>
      </c>
      <c r="J80" s="1" t="s">
        <v>33</v>
      </c>
      <c r="K80" s="1" t="s">
        <v>34</v>
      </c>
    </row>
    <row r="81" spans="1:11" x14ac:dyDescent="0.3">
      <c r="A81" s="1">
        <v>113</v>
      </c>
      <c r="B81" s="1">
        <v>41</v>
      </c>
      <c r="C81" s="1" t="s">
        <v>11</v>
      </c>
      <c r="D81" s="1">
        <v>32.965000000000003</v>
      </c>
      <c r="E81" s="1">
        <v>0</v>
      </c>
      <c r="F81" s="1" t="s">
        <v>16</v>
      </c>
      <c r="G81" s="1" t="s">
        <v>20</v>
      </c>
      <c r="H81" s="4">
        <v>6571.0243499999997</v>
      </c>
      <c r="I81" s="1" t="s">
        <v>14</v>
      </c>
      <c r="J81" s="1" t="s">
        <v>31</v>
      </c>
      <c r="K81" s="1" t="s">
        <v>34</v>
      </c>
    </row>
    <row r="82" spans="1:11" x14ac:dyDescent="0.3">
      <c r="A82" s="1">
        <v>83</v>
      </c>
      <c r="B82" s="1">
        <v>31</v>
      </c>
      <c r="C82" s="1" t="s">
        <v>15</v>
      </c>
      <c r="D82" s="1">
        <v>26.885000000000002</v>
      </c>
      <c r="E82" s="1">
        <v>1</v>
      </c>
      <c r="F82" s="1" t="s">
        <v>16</v>
      </c>
      <c r="G82" s="1" t="s">
        <v>24</v>
      </c>
      <c r="H82" s="4">
        <v>4441.2131499999996</v>
      </c>
      <c r="I82" s="1" t="s">
        <v>14</v>
      </c>
      <c r="J82" s="1" t="s">
        <v>31</v>
      </c>
      <c r="K82" s="1" t="s">
        <v>32</v>
      </c>
    </row>
    <row r="83" spans="1:11" x14ac:dyDescent="0.3">
      <c r="A83" s="1">
        <v>22</v>
      </c>
      <c r="B83" s="1">
        <v>45</v>
      </c>
      <c r="C83" s="1" t="s">
        <v>11</v>
      </c>
      <c r="D83" s="1">
        <v>38.284999999999997</v>
      </c>
      <c r="E83" s="1">
        <v>0</v>
      </c>
      <c r="F83" s="1" t="s">
        <v>16</v>
      </c>
      <c r="G83" s="1" t="s">
        <v>24</v>
      </c>
      <c r="H83" s="4">
        <v>7935.29115</v>
      </c>
      <c r="I83" s="1" t="s">
        <v>23</v>
      </c>
      <c r="J83" s="1" t="s">
        <v>31</v>
      </c>
      <c r="K83" s="1" t="s">
        <v>34</v>
      </c>
    </row>
    <row r="84" spans="1:11" x14ac:dyDescent="0.3">
      <c r="A84" s="1">
        <v>62</v>
      </c>
      <c r="B84" s="1">
        <v>22</v>
      </c>
      <c r="C84" s="1" t="s">
        <v>15</v>
      </c>
      <c r="D84" s="1">
        <v>37.619999999999997</v>
      </c>
      <c r="E84" s="1">
        <v>1</v>
      </c>
      <c r="F84" s="1" t="s">
        <v>12</v>
      </c>
      <c r="G84" s="1" t="s">
        <v>17</v>
      </c>
      <c r="H84" s="4">
        <v>37165.163800000002</v>
      </c>
      <c r="I84" s="1" t="s">
        <v>21</v>
      </c>
      <c r="J84" s="1" t="s">
        <v>33</v>
      </c>
      <c r="K84" s="1" t="s">
        <v>34</v>
      </c>
    </row>
    <row r="85" spans="1:11" x14ac:dyDescent="0.3">
      <c r="A85" s="1">
        <v>85</v>
      </c>
      <c r="B85" s="1">
        <v>48</v>
      </c>
      <c r="C85" s="1" t="s">
        <v>11</v>
      </c>
      <c r="D85" s="1">
        <v>41.23</v>
      </c>
      <c r="E85" s="1">
        <v>4</v>
      </c>
      <c r="F85" s="1" t="s">
        <v>16</v>
      </c>
      <c r="G85" s="1" t="s">
        <v>20</v>
      </c>
      <c r="H85" s="4">
        <v>11033.661700000001</v>
      </c>
      <c r="I85" s="1" t="s">
        <v>18</v>
      </c>
      <c r="J85" s="1" t="s">
        <v>33</v>
      </c>
      <c r="K85" s="1" t="s">
        <v>34</v>
      </c>
    </row>
    <row r="86" spans="1:11" x14ac:dyDescent="0.3">
      <c r="A86" s="1">
        <v>18</v>
      </c>
      <c r="B86" s="1">
        <v>37</v>
      </c>
      <c r="C86" s="1" t="s">
        <v>11</v>
      </c>
      <c r="D86" s="1">
        <v>34.799999999999997</v>
      </c>
      <c r="E86" s="1">
        <v>2</v>
      </c>
      <c r="F86" s="1" t="s">
        <v>12</v>
      </c>
      <c r="G86" s="1" t="s">
        <v>13</v>
      </c>
      <c r="H86" s="4">
        <v>39836.519</v>
      </c>
      <c r="I86" s="1" t="s">
        <v>19</v>
      </c>
      <c r="J86" s="1" t="s">
        <v>31</v>
      </c>
      <c r="K86" s="1" t="s">
        <v>34</v>
      </c>
    </row>
    <row r="87" spans="1:11" x14ac:dyDescent="0.3">
      <c r="A87" s="1">
        <v>183</v>
      </c>
      <c r="B87" s="1">
        <v>45</v>
      </c>
      <c r="C87" s="1" t="s">
        <v>15</v>
      </c>
      <c r="D87" s="1">
        <v>22.895</v>
      </c>
      <c r="E87" s="1">
        <v>2</v>
      </c>
      <c r="F87" s="1" t="s">
        <v>12</v>
      </c>
      <c r="G87" s="1" t="s">
        <v>20</v>
      </c>
      <c r="H87" s="4">
        <v>21098.554049999999</v>
      </c>
      <c r="I87" s="1" t="s">
        <v>21</v>
      </c>
      <c r="J87" s="1" t="s">
        <v>33</v>
      </c>
      <c r="K87" s="1" t="s">
        <v>35</v>
      </c>
    </row>
    <row r="88" spans="1:11" x14ac:dyDescent="0.3">
      <c r="A88" s="1">
        <v>125</v>
      </c>
      <c r="B88" s="1">
        <v>57</v>
      </c>
      <c r="C88" s="1" t="s">
        <v>11</v>
      </c>
      <c r="D88" s="1">
        <v>31.16</v>
      </c>
      <c r="E88" s="1">
        <v>0</v>
      </c>
      <c r="F88" s="1" t="s">
        <v>12</v>
      </c>
      <c r="G88" s="1" t="s">
        <v>20</v>
      </c>
      <c r="H88" s="4">
        <v>43578.939400000003</v>
      </c>
      <c r="I88" s="1" t="s">
        <v>22</v>
      </c>
      <c r="J88" s="1" t="s">
        <v>33</v>
      </c>
      <c r="K88" s="1" t="s">
        <v>34</v>
      </c>
    </row>
    <row r="89" spans="1:11" x14ac:dyDescent="0.3">
      <c r="A89" s="1">
        <v>235</v>
      </c>
      <c r="B89" s="1">
        <v>56</v>
      </c>
      <c r="C89" s="1" t="s">
        <v>11</v>
      </c>
      <c r="D89" s="1">
        <v>27.2</v>
      </c>
      <c r="E89" s="1">
        <v>0</v>
      </c>
      <c r="F89" s="1" t="s">
        <v>16</v>
      </c>
      <c r="G89" s="1" t="s">
        <v>13</v>
      </c>
      <c r="H89" s="4">
        <v>11073.175999999999</v>
      </c>
      <c r="I89" s="1" t="s">
        <v>14</v>
      </c>
      <c r="J89" s="1" t="s">
        <v>31</v>
      </c>
      <c r="K89" s="1" t="s">
        <v>32</v>
      </c>
    </row>
    <row r="90" spans="1:11" x14ac:dyDescent="0.3">
      <c r="A90" s="1">
        <v>83</v>
      </c>
      <c r="B90" s="1">
        <v>46</v>
      </c>
      <c r="C90" s="1" t="s">
        <v>11</v>
      </c>
      <c r="D90" s="1">
        <v>27.74</v>
      </c>
      <c r="E90" s="1">
        <v>0</v>
      </c>
      <c r="F90" s="1" t="s">
        <v>16</v>
      </c>
      <c r="G90" s="1" t="s">
        <v>20</v>
      </c>
      <c r="H90" s="4">
        <v>8026.6665999999996</v>
      </c>
      <c r="I90" s="1" t="s">
        <v>14</v>
      </c>
      <c r="J90" s="1" t="s">
        <v>31</v>
      </c>
      <c r="K90" s="1" t="s">
        <v>32</v>
      </c>
    </row>
    <row r="91" spans="1:11" x14ac:dyDescent="0.3">
      <c r="A91" s="1">
        <v>89</v>
      </c>
      <c r="B91" s="1">
        <v>55</v>
      </c>
      <c r="C91" s="1" t="s">
        <v>11</v>
      </c>
      <c r="D91" s="1">
        <v>26.98</v>
      </c>
      <c r="E91" s="1">
        <v>0</v>
      </c>
      <c r="F91" s="1" t="s">
        <v>16</v>
      </c>
      <c r="G91" s="1" t="s">
        <v>20</v>
      </c>
      <c r="H91" s="4">
        <v>11082.5772</v>
      </c>
      <c r="I91" s="1" t="s">
        <v>23</v>
      </c>
      <c r="J91" s="1" t="s">
        <v>31</v>
      </c>
      <c r="K91" s="1" t="s">
        <v>32</v>
      </c>
    </row>
    <row r="92" spans="1:11" x14ac:dyDescent="0.3">
      <c r="A92" s="1">
        <v>123</v>
      </c>
      <c r="B92" s="1">
        <v>21</v>
      </c>
      <c r="C92" s="1" t="s">
        <v>11</v>
      </c>
      <c r="D92" s="1">
        <v>39.49</v>
      </c>
      <c r="E92" s="1">
        <v>0</v>
      </c>
      <c r="F92" s="1" t="s">
        <v>16</v>
      </c>
      <c r="G92" s="1" t="s">
        <v>17</v>
      </c>
      <c r="H92" s="4">
        <v>2026.9740999999999</v>
      </c>
      <c r="I92" s="1" t="s">
        <v>25</v>
      </c>
      <c r="J92" s="1" t="s">
        <v>36</v>
      </c>
      <c r="K92" s="1" t="s">
        <v>34</v>
      </c>
    </row>
    <row r="93" spans="1:11" x14ac:dyDescent="0.3">
      <c r="A93" s="1">
        <v>155</v>
      </c>
      <c r="B93" s="1">
        <v>53</v>
      </c>
      <c r="C93" s="1" t="s">
        <v>11</v>
      </c>
      <c r="D93" s="1">
        <v>24.795000000000002</v>
      </c>
      <c r="E93" s="1">
        <v>1</v>
      </c>
      <c r="F93" s="1" t="s">
        <v>16</v>
      </c>
      <c r="G93" s="1" t="s">
        <v>20</v>
      </c>
      <c r="H93" s="4">
        <v>10942.13205</v>
      </c>
      <c r="I93" s="1" t="s">
        <v>26</v>
      </c>
      <c r="J93" s="1" t="s">
        <v>36</v>
      </c>
      <c r="K93" s="1" t="s">
        <v>35</v>
      </c>
    </row>
    <row r="94" spans="1:11" x14ac:dyDescent="0.3">
      <c r="A94" s="1">
        <v>191</v>
      </c>
      <c r="B94" s="1">
        <v>59</v>
      </c>
      <c r="C94" s="1" t="s">
        <v>15</v>
      </c>
      <c r="D94" s="1">
        <v>29.83</v>
      </c>
      <c r="E94" s="1">
        <v>3</v>
      </c>
      <c r="F94" s="1" t="s">
        <v>12</v>
      </c>
      <c r="G94" s="1" t="s">
        <v>24</v>
      </c>
      <c r="H94" s="4">
        <v>30184.936699999998</v>
      </c>
      <c r="I94" s="1" t="s">
        <v>27</v>
      </c>
      <c r="J94" s="1" t="s">
        <v>36</v>
      </c>
      <c r="K94" s="1" t="s">
        <v>32</v>
      </c>
    </row>
    <row r="95" spans="1:11" x14ac:dyDescent="0.3">
      <c r="A95" s="1">
        <v>276</v>
      </c>
      <c r="B95" s="1">
        <v>35</v>
      </c>
      <c r="C95" s="1" t="s">
        <v>15</v>
      </c>
      <c r="D95" s="1">
        <v>34.770000000000003</v>
      </c>
      <c r="E95" s="1">
        <v>2</v>
      </c>
      <c r="F95" s="1" t="s">
        <v>16</v>
      </c>
      <c r="G95" s="1" t="s">
        <v>20</v>
      </c>
      <c r="H95" s="4">
        <v>5729.0052999999998</v>
      </c>
      <c r="I95" s="1" t="s">
        <v>28</v>
      </c>
      <c r="J95" s="1" t="s">
        <v>37</v>
      </c>
      <c r="K95" s="1" t="s">
        <v>34</v>
      </c>
    </row>
    <row r="96" spans="1:11" x14ac:dyDescent="0.3">
      <c r="A96" s="1">
        <v>147</v>
      </c>
      <c r="B96" s="1">
        <v>64</v>
      </c>
      <c r="C96" s="1" t="s">
        <v>11</v>
      </c>
      <c r="D96" s="1">
        <v>31.3</v>
      </c>
      <c r="E96" s="1">
        <v>2</v>
      </c>
      <c r="F96" s="1" t="s">
        <v>12</v>
      </c>
      <c r="G96" s="1" t="s">
        <v>13</v>
      </c>
      <c r="H96" s="4">
        <v>47291.055</v>
      </c>
      <c r="I96" s="1" t="s">
        <v>29</v>
      </c>
      <c r="J96" s="1" t="s">
        <v>37</v>
      </c>
      <c r="K96" s="1" t="s">
        <v>34</v>
      </c>
    </row>
    <row r="97" spans="1:11" x14ac:dyDescent="0.3">
      <c r="A97" s="1">
        <v>64</v>
      </c>
      <c r="B97" s="1">
        <v>28</v>
      </c>
      <c r="C97" s="1" t="s">
        <v>11</v>
      </c>
      <c r="D97" s="1">
        <v>37.619999999999997</v>
      </c>
      <c r="E97" s="1">
        <v>1</v>
      </c>
      <c r="F97" s="1" t="s">
        <v>16</v>
      </c>
      <c r="G97" s="1" t="s">
        <v>17</v>
      </c>
      <c r="H97" s="4">
        <v>3766.8838000000001</v>
      </c>
      <c r="I97" s="1" t="s">
        <v>30</v>
      </c>
      <c r="J97" s="1" t="s">
        <v>37</v>
      </c>
      <c r="K97" s="1" t="s">
        <v>34</v>
      </c>
    </row>
    <row r="98" spans="1:11" x14ac:dyDescent="0.3">
      <c r="A98" s="1">
        <v>279</v>
      </c>
      <c r="B98" s="1">
        <v>54</v>
      </c>
      <c r="C98" s="1" t="s">
        <v>11</v>
      </c>
      <c r="D98" s="1">
        <v>30.8</v>
      </c>
      <c r="E98" s="1">
        <v>3</v>
      </c>
      <c r="F98" s="1" t="s">
        <v>16</v>
      </c>
      <c r="G98" s="1" t="s">
        <v>13</v>
      </c>
      <c r="H98" s="4">
        <v>12105.32</v>
      </c>
      <c r="I98" s="1" t="s">
        <v>19</v>
      </c>
      <c r="J98" s="1" t="s">
        <v>31</v>
      </c>
      <c r="K98" s="1" t="s">
        <v>34</v>
      </c>
    </row>
    <row r="99" spans="1:11" x14ac:dyDescent="0.3">
      <c r="A99" s="1">
        <v>62</v>
      </c>
      <c r="B99" s="1">
        <v>55</v>
      </c>
      <c r="C99" s="1" t="s">
        <v>15</v>
      </c>
      <c r="D99" s="1">
        <v>38.28</v>
      </c>
      <c r="E99" s="1">
        <v>0</v>
      </c>
      <c r="F99" s="1" t="s">
        <v>16</v>
      </c>
      <c r="G99" s="1" t="s">
        <v>17</v>
      </c>
      <c r="H99" s="4">
        <v>10226.2842</v>
      </c>
      <c r="I99" s="1" t="s">
        <v>21</v>
      </c>
      <c r="J99" s="1" t="s">
        <v>33</v>
      </c>
      <c r="K99" s="1" t="s">
        <v>34</v>
      </c>
    </row>
    <row r="100" spans="1:11" x14ac:dyDescent="0.3">
      <c r="A100" s="1">
        <v>48</v>
      </c>
      <c r="B100" s="1">
        <v>56</v>
      </c>
      <c r="C100" s="1" t="s">
        <v>15</v>
      </c>
      <c r="D100" s="1">
        <v>19.95</v>
      </c>
      <c r="E100" s="1">
        <v>0</v>
      </c>
      <c r="F100" s="1" t="s">
        <v>12</v>
      </c>
      <c r="G100" s="1" t="s">
        <v>24</v>
      </c>
      <c r="H100" s="4">
        <v>22412.648499999999</v>
      </c>
      <c r="I100" s="1" t="s">
        <v>22</v>
      </c>
      <c r="J100" s="1" t="s">
        <v>33</v>
      </c>
      <c r="K100" s="1" t="s">
        <v>35</v>
      </c>
    </row>
    <row r="101" spans="1:11" x14ac:dyDescent="0.3">
      <c r="A101" s="1">
        <v>175</v>
      </c>
      <c r="B101" s="1">
        <v>38</v>
      </c>
      <c r="C101" s="1" t="s">
        <v>15</v>
      </c>
      <c r="D101" s="1">
        <v>19.3</v>
      </c>
      <c r="E101" s="1">
        <v>0</v>
      </c>
      <c r="F101" s="1" t="s">
        <v>12</v>
      </c>
      <c r="G101" s="1" t="s">
        <v>13</v>
      </c>
      <c r="H101" s="4">
        <v>15820.699000000001</v>
      </c>
      <c r="I101" s="1" t="s">
        <v>22</v>
      </c>
      <c r="J101" s="1" t="s">
        <v>33</v>
      </c>
      <c r="K101" s="1" t="s">
        <v>35</v>
      </c>
    </row>
    <row r="102" spans="1:11" x14ac:dyDescent="0.3">
      <c r="A102" s="1">
        <v>285</v>
      </c>
      <c r="B102" s="1">
        <v>41</v>
      </c>
      <c r="C102" s="1" t="s">
        <v>11</v>
      </c>
      <c r="D102" s="1">
        <v>31.6</v>
      </c>
      <c r="E102" s="1">
        <v>0</v>
      </c>
      <c r="F102" s="1" t="s">
        <v>16</v>
      </c>
      <c r="G102" s="1" t="s">
        <v>13</v>
      </c>
      <c r="H102" s="4">
        <v>6186.1270000000004</v>
      </c>
      <c r="I102" s="1" t="s">
        <v>14</v>
      </c>
      <c r="J102" s="1" t="s">
        <v>31</v>
      </c>
      <c r="K102" s="1" t="s">
        <v>34</v>
      </c>
    </row>
    <row r="103" spans="1:11" x14ac:dyDescent="0.3">
      <c r="A103" s="1">
        <v>95</v>
      </c>
      <c r="B103" s="1">
        <v>30</v>
      </c>
      <c r="C103" s="1" t="s">
        <v>15</v>
      </c>
      <c r="D103" s="1">
        <v>25.46</v>
      </c>
      <c r="E103" s="1">
        <v>0</v>
      </c>
      <c r="F103" s="1" t="s">
        <v>16</v>
      </c>
      <c r="G103" s="1" t="s">
        <v>24</v>
      </c>
      <c r="H103" s="4">
        <v>3645.0893999999998</v>
      </c>
      <c r="I103" s="1" t="s">
        <v>14</v>
      </c>
      <c r="J103" s="1" t="s">
        <v>31</v>
      </c>
      <c r="K103" s="1" t="s">
        <v>32</v>
      </c>
    </row>
    <row r="104" spans="1:11" x14ac:dyDescent="0.3">
      <c r="A104" s="1">
        <v>271</v>
      </c>
      <c r="B104" s="1">
        <v>18</v>
      </c>
      <c r="C104" s="1" t="s">
        <v>11</v>
      </c>
      <c r="D104" s="1">
        <v>30.114999999999998</v>
      </c>
      <c r="E104" s="1">
        <v>0</v>
      </c>
      <c r="F104" s="1" t="s">
        <v>16</v>
      </c>
      <c r="G104" s="1" t="s">
        <v>24</v>
      </c>
      <c r="H104" s="4">
        <v>21344.846699999998</v>
      </c>
      <c r="I104" s="1" t="s">
        <v>23</v>
      </c>
      <c r="J104" s="1" t="s">
        <v>31</v>
      </c>
      <c r="K104" s="1" t="s">
        <v>34</v>
      </c>
    </row>
    <row r="105" spans="1:11" x14ac:dyDescent="0.3">
      <c r="A105" s="1">
        <v>285</v>
      </c>
      <c r="B105" s="1">
        <v>61</v>
      </c>
      <c r="C105" s="1" t="s">
        <v>11</v>
      </c>
      <c r="D105" s="1">
        <v>29.92</v>
      </c>
      <c r="E105" s="1">
        <v>3</v>
      </c>
      <c r="F105" s="1" t="s">
        <v>12</v>
      </c>
      <c r="G105" s="1" t="s">
        <v>17</v>
      </c>
      <c r="H105" s="4">
        <v>30942.191800000001</v>
      </c>
      <c r="I105" s="1" t="s">
        <v>21</v>
      </c>
      <c r="J105" s="1" t="s">
        <v>33</v>
      </c>
      <c r="K105" s="1" t="s">
        <v>34</v>
      </c>
    </row>
    <row r="106" spans="1:11" x14ac:dyDescent="0.3">
      <c r="A106" s="1">
        <v>47</v>
      </c>
      <c r="B106" s="1">
        <v>34</v>
      </c>
      <c r="C106" s="1" t="s">
        <v>11</v>
      </c>
      <c r="D106" s="1">
        <v>27.5</v>
      </c>
      <c r="E106" s="1">
        <v>1</v>
      </c>
      <c r="F106" s="1" t="s">
        <v>16</v>
      </c>
      <c r="G106" s="1" t="s">
        <v>13</v>
      </c>
      <c r="H106" s="4">
        <v>5003.8530000000001</v>
      </c>
      <c r="I106" s="1" t="s">
        <v>18</v>
      </c>
      <c r="J106" s="1" t="s">
        <v>33</v>
      </c>
      <c r="K106" s="1" t="s">
        <v>32</v>
      </c>
    </row>
    <row r="107" spans="1:11" x14ac:dyDescent="0.3">
      <c r="A107" s="1">
        <v>267</v>
      </c>
      <c r="B107" s="1">
        <v>20</v>
      </c>
      <c r="C107" s="1" t="s">
        <v>15</v>
      </c>
      <c r="D107" s="1">
        <v>28.024999999999999</v>
      </c>
      <c r="E107" s="1">
        <v>1</v>
      </c>
      <c r="F107" s="1" t="s">
        <v>12</v>
      </c>
      <c r="G107" s="1" t="s">
        <v>20</v>
      </c>
      <c r="H107" s="4">
        <v>17560.37975</v>
      </c>
      <c r="I107" s="1" t="s">
        <v>19</v>
      </c>
      <c r="J107" s="1" t="s">
        <v>31</v>
      </c>
      <c r="K107" s="1" t="s">
        <v>32</v>
      </c>
    </row>
    <row r="108" spans="1:11" x14ac:dyDescent="0.3">
      <c r="A108" s="1">
        <v>206</v>
      </c>
      <c r="B108" s="1">
        <v>19</v>
      </c>
      <c r="C108" s="1" t="s">
        <v>11</v>
      </c>
      <c r="D108" s="1">
        <v>28.4</v>
      </c>
      <c r="E108" s="1">
        <v>1</v>
      </c>
      <c r="F108" s="1" t="s">
        <v>16</v>
      </c>
      <c r="G108" s="1" t="s">
        <v>13</v>
      </c>
      <c r="H108" s="4">
        <v>2331.5189999999998</v>
      </c>
      <c r="I108" s="1" t="s">
        <v>21</v>
      </c>
      <c r="J108" s="1" t="s">
        <v>33</v>
      </c>
      <c r="K108" s="1" t="s">
        <v>32</v>
      </c>
    </row>
    <row r="109" spans="1:11" x14ac:dyDescent="0.3">
      <c r="A109" s="1">
        <v>279</v>
      </c>
      <c r="B109" s="1">
        <v>26</v>
      </c>
      <c r="C109" s="1" t="s">
        <v>15</v>
      </c>
      <c r="D109" s="1">
        <v>30.875</v>
      </c>
      <c r="E109" s="1">
        <v>2</v>
      </c>
      <c r="F109" s="1" t="s">
        <v>16</v>
      </c>
      <c r="G109" s="1" t="s">
        <v>20</v>
      </c>
      <c r="H109" s="4">
        <v>3877.3042500000001</v>
      </c>
      <c r="I109" s="1" t="s">
        <v>22</v>
      </c>
      <c r="J109" s="1" t="s">
        <v>33</v>
      </c>
      <c r="K109" s="1" t="s">
        <v>34</v>
      </c>
    </row>
    <row r="110" spans="1:11" x14ac:dyDescent="0.3">
      <c r="A110" s="1">
        <v>189</v>
      </c>
      <c r="B110" s="1">
        <v>29</v>
      </c>
      <c r="C110" s="1" t="s">
        <v>15</v>
      </c>
      <c r="D110" s="1">
        <v>27.94</v>
      </c>
      <c r="E110" s="1">
        <v>0</v>
      </c>
      <c r="F110" s="1" t="s">
        <v>16</v>
      </c>
      <c r="G110" s="1" t="s">
        <v>17</v>
      </c>
      <c r="H110" s="4">
        <v>2867.1196</v>
      </c>
      <c r="I110" s="1" t="s">
        <v>14</v>
      </c>
      <c r="J110" s="1" t="s">
        <v>31</v>
      </c>
      <c r="K110" s="1" t="s">
        <v>32</v>
      </c>
    </row>
    <row r="111" spans="1:11" x14ac:dyDescent="0.3">
      <c r="A111" s="1">
        <v>48</v>
      </c>
      <c r="B111" s="1">
        <v>63</v>
      </c>
      <c r="C111" s="1" t="s">
        <v>15</v>
      </c>
      <c r="D111" s="1">
        <v>35.090000000000003</v>
      </c>
      <c r="E111" s="1">
        <v>0</v>
      </c>
      <c r="F111" s="1" t="s">
        <v>12</v>
      </c>
      <c r="G111" s="1" t="s">
        <v>17</v>
      </c>
      <c r="H111" s="4">
        <v>47055.532099999997</v>
      </c>
      <c r="I111" s="1" t="s">
        <v>14</v>
      </c>
      <c r="J111" s="1" t="s">
        <v>31</v>
      </c>
      <c r="K111" s="1" t="s">
        <v>34</v>
      </c>
    </row>
    <row r="112" spans="1:11" x14ac:dyDescent="0.3">
      <c r="A112" s="1">
        <v>34</v>
      </c>
      <c r="B112" s="1">
        <v>54</v>
      </c>
      <c r="C112" s="1" t="s">
        <v>15</v>
      </c>
      <c r="D112" s="1">
        <v>33.630000000000003</v>
      </c>
      <c r="E112" s="1">
        <v>1</v>
      </c>
      <c r="F112" s="1" t="s">
        <v>16</v>
      </c>
      <c r="G112" s="1" t="s">
        <v>20</v>
      </c>
      <c r="H112" s="4">
        <v>10825.253699999999</v>
      </c>
      <c r="I112" s="1" t="s">
        <v>14</v>
      </c>
      <c r="J112" s="1" t="s">
        <v>31</v>
      </c>
      <c r="K112" s="1" t="s">
        <v>34</v>
      </c>
    </row>
    <row r="113" spans="1:11" x14ac:dyDescent="0.3">
      <c r="A113" s="1">
        <v>34</v>
      </c>
      <c r="B113" s="1">
        <v>55</v>
      </c>
      <c r="C113" s="1" t="s">
        <v>11</v>
      </c>
      <c r="D113" s="1">
        <v>29.7</v>
      </c>
      <c r="E113" s="1">
        <v>2</v>
      </c>
      <c r="F113" s="1" t="s">
        <v>16</v>
      </c>
      <c r="G113" s="1" t="s">
        <v>13</v>
      </c>
      <c r="H113" s="4">
        <v>11881.358</v>
      </c>
      <c r="I113" s="1" t="s">
        <v>23</v>
      </c>
      <c r="J113" s="1" t="s">
        <v>31</v>
      </c>
      <c r="K113" s="1" t="s">
        <v>32</v>
      </c>
    </row>
    <row r="114" spans="1:11" x14ac:dyDescent="0.3">
      <c r="A114" s="1">
        <v>201</v>
      </c>
      <c r="B114" s="1">
        <v>37</v>
      </c>
      <c r="C114" s="1" t="s">
        <v>15</v>
      </c>
      <c r="D114" s="1">
        <v>30.8</v>
      </c>
      <c r="E114" s="1">
        <v>0</v>
      </c>
      <c r="F114" s="1" t="s">
        <v>16</v>
      </c>
      <c r="G114" s="1" t="s">
        <v>13</v>
      </c>
      <c r="H114" s="4">
        <v>4646.759</v>
      </c>
      <c r="I114" s="1" t="s">
        <v>21</v>
      </c>
      <c r="J114" s="1" t="s">
        <v>33</v>
      </c>
      <c r="K114" s="1" t="s">
        <v>34</v>
      </c>
    </row>
    <row r="115" spans="1:11" x14ac:dyDescent="0.3">
      <c r="A115" s="1">
        <v>156</v>
      </c>
      <c r="B115" s="1">
        <v>21</v>
      </c>
      <c r="C115" s="1" t="s">
        <v>11</v>
      </c>
      <c r="D115" s="1">
        <v>35.72</v>
      </c>
      <c r="E115" s="1">
        <v>0</v>
      </c>
      <c r="F115" s="1" t="s">
        <v>16</v>
      </c>
      <c r="G115" s="1" t="s">
        <v>20</v>
      </c>
      <c r="H115" s="4">
        <v>2404.7338</v>
      </c>
      <c r="I115" s="1" t="s">
        <v>18</v>
      </c>
      <c r="J115" s="1" t="s">
        <v>33</v>
      </c>
      <c r="K115" s="1" t="s">
        <v>34</v>
      </c>
    </row>
    <row r="116" spans="1:11" x14ac:dyDescent="0.3">
      <c r="A116" s="1">
        <v>65</v>
      </c>
      <c r="B116" s="1">
        <v>52</v>
      </c>
      <c r="C116" s="1" t="s">
        <v>15</v>
      </c>
      <c r="D116" s="1">
        <v>32.204999999999998</v>
      </c>
      <c r="E116" s="1">
        <v>3</v>
      </c>
      <c r="F116" s="1" t="s">
        <v>16</v>
      </c>
      <c r="G116" s="1" t="s">
        <v>24</v>
      </c>
      <c r="H116" s="4">
        <v>11488.31695</v>
      </c>
      <c r="I116" s="1" t="s">
        <v>19</v>
      </c>
      <c r="J116" s="1" t="s">
        <v>31</v>
      </c>
      <c r="K116" s="1" t="s">
        <v>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Views>
    <sheetView zoomScale="68" workbookViewId="0">
      <selection activeCell="AH9" sqref="AH9"/>
    </sheetView>
  </sheetViews>
  <sheetFormatPr defaultRowHeight="14.4" x14ac:dyDescent="0.3"/>
  <cols>
    <col min="25" max="31" width="7.77734375" customWidth="1"/>
  </cols>
  <sheetData>
    <row r="1" spans="1:32" ht="14.4" customHeight="1" x14ac:dyDescent="0.3">
      <c r="A1" s="39"/>
      <c r="B1" s="39"/>
      <c r="C1" s="39"/>
      <c r="D1" s="27" t="s">
        <v>39</v>
      </c>
      <c r="E1" s="27"/>
      <c r="F1" s="27"/>
      <c r="G1" s="27"/>
      <c r="H1" s="27"/>
      <c r="I1" s="27"/>
      <c r="J1" s="27"/>
      <c r="K1" s="27"/>
      <c r="L1" s="27"/>
      <c r="M1" s="27"/>
      <c r="N1" s="27"/>
      <c r="O1" s="27"/>
      <c r="P1" s="27"/>
      <c r="Q1" s="27"/>
      <c r="R1" s="27"/>
      <c r="S1" s="27"/>
      <c r="T1" s="27"/>
      <c r="U1" s="27"/>
      <c r="V1" s="27"/>
      <c r="W1" s="27"/>
      <c r="X1" s="27"/>
      <c r="Y1" s="27"/>
      <c r="Z1" s="12"/>
      <c r="AA1" s="12"/>
      <c r="AB1" s="12"/>
      <c r="AC1" s="12"/>
      <c r="AD1" s="12"/>
      <c r="AE1" s="12"/>
    </row>
    <row r="2" spans="1:32" ht="14.4" customHeight="1" x14ac:dyDescent="0.3">
      <c r="A2" s="39"/>
      <c r="B2" s="39"/>
      <c r="C2" s="39"/>
      <c r="D2" s="27"/>
      <c r="E2" s="27"/>
      <c r="F2" s="27"/>
      <c r="G2" s="27"/>
      <c r="H2" s="27"/>
      <c r="I2" s="27"/>
      <c r="J2" s="27"/>
      <c r="K2" s="27"/>
      <c r="L2" s="27"/>
      <c r="M2" s="27"/>
      <c r="N2" s="27"/>
      <c r="O2" s="27"/>
      <c r="P2" s="27"/>
      <c r="Q2" s="27"/>
      <c r="R2" s="27"/>
      <c r="S2" s="27"/>
      <c r="T2" s="27"/>
      <c r="U2" s="27"/>
      <c r="V2" s="27"/>
      <c r="W2" s="27"/>
      <c r="X2" s="27"/>
      <c r="Y2" s="27"/>
      <c r="Z2" s="12"/>
      <c r="AA2" s="12"/>
      <c r="AB2" s="12"/>
      <c r="AC2" s="12"/>
      <c r="AD2" s="12"/>
      <c r="AE2" s="12"/>
    </row>
    <row r="3" spans="1:32" ht="18" x14ac:dyDescent="0.3">
      <c r="A3" s="38"/>
      <c r="B3" s="38"/>
      <c r="C3" s="38"/>
      <c r="D3" s="38"/>
      <c r="E3" s="9"/>
      <c r="F3" s="9"/>
      <c r="G3" s="9"/>
      <c r="H3" s="9"/>
      <c r="I3" s="9"/>
      <c r="J3" s="9"/>
      <c r="K3" s="9"/>
      <c r="L3" s="9"/>
      <c r="M3" s="9"/>
      <c r="N3" s="9"/>
      <c r="O3" s="9"/>
      <c r="P3" s="9"/>
      <c r="Q3" s="9"/>
      <c r="R3" s="9"/>
      <c r="S3" s="9"/>
      <c r="T3" s="9"/>
      <c r="U3" s="9"/>
      <c r="V3" s="9"/>
      <c r="W3" s="9"/>
      <c r="X3" s="9"/>
      <c r="Y3" s="10"/>
      <c r="Z3" s="10"/>
      <c r="AA3" s="18" t="s">
        <v>53</v>
      </c>
      <c r="AB3" s="19"/>
      <c r="AC3" s="19"/>
      <c r="AD3" s="10"/>
      <c r="AE3" s="10"/>
    </row>
    <row r="4" spans="1:32" ht="14.4" customHeight="1" x14ac:dyDescent="0.3">
      <c r="A4" s="38"/>
      <c r="B4" s="38"/>
      <c r="C4" s="38"/>
      <c r="D4" s="38"/>
      <c r="E4" s="32" t="s">
        <v>45</v>
      </c>
      <c r="F4" s="32"/>
      <c r="G4" s="32"/>
      <c r="H4" s="34" t="s">
        <v>46</v>
      </c>
      <c r="I4" s="34"/>
      <c r="J4" s="34"/>
      <c r="K4" s="36" t="s">
        <v>47</v>
      </c>
      <c r="L4" s="36"/>
      <c r="M4" s="36"/>
      <c r="N4" s="28" t="s">
        <v>48</v>
      </c>
      <c r="O4" s="28"/>
      <c r="P4" s="28"/>
      <c r="Q4" s="30" t="s">
        <v>49</v>
      </c>
      <c r="R4" s="30"/>
      <c r="S4" s="30"/>
      <c r="T4" s="9"/>
      <c r="U4" s="9"/>
      <c r="V4" s="9"/>
      <c r="W4" s="9"/>
      <c r="X4" s="9"/>
      <c r="Y4" s="10"/>
      <c r="Z4" s="10"/>
      <c r="AA4" s="10"/>
      <c r="AB4" s="10"/>
      <c r="AC4" s="10"/>
      <c r="AD4" s="10"/>
      <c r="AE4" s="10"/>
    </row>
    <row r="5" spans="1:32" ht="19.95" customHeight="1" x14ac:dyDescent="0.3">
      <c r="A5" s="38"/>
      <c r="B5" s="38"/>
      <c r="C5" s="38"/>
      <c r="D5" s="38"/>
      <c r="E5" s="33">
        <f>AVERAGE(DATA!$B$2:$B$116)</f>
        <v>38.643478260869564</v>
      </c>
      <c r="F5" s="33"/>
      <c r="G5" s="33"/>
      <c r="H5" s="35">
        <f>AVERAGE(DATA!$D$2:$D$116)</f>
        <v>30.797695652173921</v>
      </c>
      <c r="I5" s="35"/>
      <c r="J5" s="35"/>
      <c r="K5" s="37">
        <f>AVERAGE(DATA!$E$2:$E$116)</f>
        <v>1.0521739130434782</v>
      </c>
      <c r="L5" s="37"/>
      <c r="M5" s="37"/>
      <c r="N5" s="29">
        <f>AVERAGE(DATA!$H$2:$H$116)</f>
        <v>14268.283011304355</v>
      </c>
      <c r="O5" s="29"/>
      <c r="P5" s="29"/>
      <c r="Q5" s="31">
        <v>115</v>
      </c>
      <c r="R5" s="31"/>
      <c r="S5" s="31"/>
      <c r="T5" s="9"/>
      <c r="U5" s="9"/>
      <c r="V5" s="9"/>
      <c r="W5" s="9"/>
      <c r="X5" s="9"/>
      <c r="Y5" s="10"/>
      <c r="Z5" s="10"/>
      <c r="AA5" s="10"/>
      <c r="AB5" s="10"/>
      <c r="AC5" s="10"/>
      <c r="AD5" s="10"/>
      <c r="AE5" s="10"/>
    </row>
    <row r="6" spans="1:32" ht="19.95" customHeight="1" x14ac:dyDescent="0.3">
      <c r="A6" s="38"/>
      <c r="B6" s="38"/>
      <c r="C6" s="38"/>
      <c r="D6" s="38"/>
      <c r="E6" s="33"/>
      <c r="F6" s="33"/>
      <c r="G6" s="33"/>
      <c r="H6" s="35"/>
      <c r="I6" s="35"/>
      <c r="J6" s="35"/>
      <c r="K6" s="37"/>
      <c r="L6" s="37"/>
      <c r="M6" s="37"/>
      <c r="N6" s="29"/>
      <c r="O6" s="29"/>
      <c r="P6" s="29"/>
      <c r="Q6" s="31"/>
      <c r="R6" s="31"/>
      <c r="S6" s="31"/>
      <c r="T6" s="9"/>
      <c r="U6" s="9"/>
      <c r="V6" s="9"/>
      <c r="W6" s="9"/>
      <c r="X6" s="9"/>
      <c r="Y6" s="14" t="s">
        <v>54</v>
      </c>
      <c r="Z6" s="15"/>
      <c r="AA6" s="10"/>
      <c r="AB6" s="10"/>
      <c r="AC6" s="10"/>
      <c r="AD6" s="10"/>
      <c r="AE6" s="10"/>
    </row>
    <row r="7" spans="1:32" ht="19.95" customHeight="1" x14ac:dyDescent="0.3">
      <c r="A7" s="38"/>
      <c r="B7" s="38"/>
      <c r="C7" s="38"/>
      <c r="D7" s="38"/>
      <c r="E7" s="11"/>
      <c r="F7" s="11"/>
      <c r="G7" s="11"/>
      <c r="H7" s="9"/>
      <c r="I7" s="9"/>
      <c r="J7" s="9"/>
      <c r="K7" s="9"/>
      <c r="L7" s="9"/>
      <c r="M7" s="9"/>
      <c r="N7" s="9"/>
      <c r="O7" s="9"/>
      <c r="P7" s="9"/>
      <c r="Q7" s="9"/>
      <c r="R7" s="9"/>
      <c r="S7" s="9"/>
      <c r="T7" s="9"/>
      <c r="U7" s="9"/>
      <c r="V7" s="9"/>
      <c r="W7" s="9"/>
      <c r="X7" s="9"/>
      <c r="Y7" s="17" t="s">
        <v>55</v>
      </c>
      <c r="Z7" s="17"/>
      <c r="AA7" s="17"/>
      <c r="AB7" s="17"/>
      <c r="AC7" s="17"/>
      <c r="AD7" s="17"/>
      <c r="AE7" s="17"/>
      <c r="AF7" s="1"/>
    </row>
    <row r="8" spans="1:32" ht="19.95" customHeight="1" x14ac:dyDescent="0.3">
      <c r="A8" s="38"/>
      <c r="B8" s="38"/>
      <c r="C8" s="38"/>
      <c r="D8" s="38"/>
      <c r="E8" s="9"/>
      <c r="F8" s="9"/>
      <c r="G8" s="9"/>
      <c r="H8" s="9"/>
      <c r="I8" s="9"/>
      <c r="J8" s="9"/>
      <c r="K8" s="9"/>
      <c r="L8" s="9"/>
      <c r="M8" s="9"/>
      <c r="N8" s="9"/>
      <c r="O8" s="9"/>
      <c r="P8" s="9"/>
      <c r="Q8" s="9"/>
      <c r="R8" s="9"/>
      <c r="S8" s="9"/>
      <c r="T8" s="9"/>
      <c r="U8" s="9"/>
      <c r="V8" s="9"/>
      <c r="W8" s="9"/>
      <c r="X8" s="9"/>
      <c r="Y8" s="23" t="s">
        <v>56</v>
      </c>
      <c r="Z8" s="23"/>
      <c r="AA8" s="23"/>
      <c r="AB8" s="23"/>
      <c r="AC8" s="23"/>
      <c r="AD8" s="23"/>
      <c r="AE8" s="23"/>
    </row>
    <row r="9" spans="1:32" ht="19.95" customHeight="1" x14ac:dyDescent="0.3">
      <c r="A9" s="38"/>
      <c r="B9" s="38"/>
      <c r="C9" s="38"/>
      <c r="D9" s="38"/>
      <c r="E9" s="9"/>
      <c r="F9" s="9"/>
      <c r="G9" s="9"/>
      <c r="H9" s="9"/>
      <c r="I9" s="9"/>
      <c r="J9" s="9"/>
      <c r="K9" s="9"/>
      <c r="L9" s="9"/>
      <c r="M9" s="9"/>
      <c r="N9" s="9"/>
      <c r="O9" s="9"/>
      <c r="P9" s="9"/>
      <c r="Q9" s="9"/>
      <c r="R9" s="9"/>
      <c r="S9" s="9"/>
      <c r="T9" s="9"/>
      <c r="U9" s="9"/>
      <c r="V9" s="9"/>
      <c r="W9" s="9"/>
      <c r="X9" s="9"/>
      <c r="Y9" s="23" t="s">
        <v>57</v>
      </c>
      <c r="Z9" s="23"/>
      <c r="AA9" s="23"/>
      <c r="AB9" s="23"/>
      <c r="AC9" s="23"/>
      <c r="AD9" s="23"/>
      <c r="AE9" s="23"/>
    </row>
    <row r="10" spans="1:32" ht="19.95" customHeight="1" x14ac:dyDescent="0.3">
      <c r="A10" s="38"/>
      <c r="B10" s="38"/>
      <c r="C10" s="38"/>
      <c r="D10" s="38"/>
      <c r="E10" s="9"/>
      <c r="F10" s="9"/>
      <c r="G10" s="9"/>
      <c r="H10" s="9"/>
      <c r="I10" s="9"/>
      <c r="J10" s="9"/>
      <c r="K10" s="9"/>
      <c r="L10" s="9"/>
      <c r="M10" s="9"/>
      <c r="N10" s="9"/>
      <c r="O10" s="9"/>
      <c r="P10" s="9"/>
      <c r="Q10" s="9"/>
      <c r="R10" s="9"/>
      <c r="S10" s="9"/>
      <c r="T10" s="9"/>
      <c r="U10" s="9"/>
      <c r="V10" s="9"/>
      <c r="W10" s="9"/>
      <c r="X10" s="9"/>
      <c r="Y10" s="23" t="s">
        <v>58</v>
      </c>
      <c r="Z10" s="23"/>
      <c r="AA10" s="23"/>
      <c r="AB10" s="23"/>
      <c r="AC10" s="23"/>
      <c r="AD10" s="23"/>
      <c r="AE10" s="23"/>
    </row>
    <row r="11" spans="1:32" ht="16.95" customHeight="1" x14ac:dyDescent="0.3">
      <c r="A11" s="38"/>
      <c r="B11" s="38"/>
      <c r="C11" s="38"/>
      <c r="D11" s="38"/>
      <c r="E11" s="9"/>
      <c r="F11" s="9"/>
      <c r="G11" s="9"/>
      <c r="H11" s="9"/>
      <c r="I11" s="9"/>
      <c r="J11" s="9"/>
      <c r="K11" s="9"/>
      <c r="L11" s="9"/>
      <c r="M11" s="9"/>
      <c r="N11" s="9"/>
      <c r="O11" s="9"/>
      <c r="P11" s="9"/>
      <c r="Q11" s="9"/>
      <c r="R11" s="9"/>
      <c r="S11" s="9"/>
      <c r="T11" s="9"/>
      <c r="U11" s="9"/>
      <c r="V11" s="9"/>
      <c r="W11" s="9"/>
      <c r="X11" s="9"/>
      <c r="Y11" s="16"/>
      <c r="Z11" s="16"/>
      <c r="AA11" s="16"/>
      <c r="AB11" s="16"/>
      <c r="AC11" s="16"/>
      <c r="AD11" s="16"/>
      <c r="AE11" s="16"/>
    </row>
    <row r="12" spans="1:32" x14ac:dyDescent="0.3">
      <c r="A12" s="38"/>
      <c r="B12" s="38"/>
      <c r="C12" s="38"/>
      <c r="D12" s="38"/>
      <c r="E12" s="9"/>
      <c r="F12" s="9"/>
      <c r="G12" s="9"/>
      <c r="H12" s="9"/>
      <c r="I12" s="9"/>
      <c r="J12" s="9"/>
      <c r="K12" s="9"/>
      <c r="L12" s="9"/>
      <c r="M12" s="9"/>
      <c r="N12" s="9"/>
      <c r="O12" s="9"/>
      <c r="P12" s="9"/>
      <c r="Q12" s="9"/>
      <c r="R12" s="9"/>
      <c r="S12" s="9"/>
      <c r="T12" s="9"/>
      <c r="U12" s="9"/>
      <c r="V12" s="9"/>
      <c r="W12" s="9"/>
      <c r="X12" s="9"/>
      <c r="Y12" s="10"/>
      <c r="Z12" s="10"/>
      <c r="AA12" s="10"/>
      <c r="AB12" s="10"/>
      <c r="AC12" s="10"/>
      <c r="AD12" s="10"/>
      <c r="AE12" s="10"/>
    </row>
    <row r="13" spans="1:32" ht="21" customHeight="1" x14ac:dyDescent="0.3">
      <c r="A13" s="38"/>
      <c r="B13" s="38"/>
      <c r="C13" s="38"/>
      <c r="D13" s="38"/>
      <c r="E13" s="9"/>
      <c r="F13" s="9"/>
      <c r="G13" s="9"/>
      <c r="H13" s="9"/>
      <c r="I13" s="9"/>
      <c r="J13" s="9"/>
      <c r="K13" s="9"/>
      <c r="L13" s="9"/>
      <c r="M13" s="9"/>
      <c r="N13" s="9"/>
      <c r="O13" s="9"/>
      <c r="P13" s="9"/>
      <c r="Q13" s="9"/>
      <c r="R13" s="9"/>
      <c r="S13" s="9"/>
      <c r="T13" s="9"/>
      <c r="U13" s="9"/>
      <c r="V13" s="9"/>
      <c r="W13" s="9"/>
      <c r="X13" s="9"/>
      <c r="Y13" s="24" t="s">
        <v>59</v>
      </c>
      <c r="Z13" s="24"/>
      <c r="AA13" s="24"/>
      <c r="AB13" s="24"/>
      <c r="AC13" s="10"/>
      <c r="AD13" s="10"/>
      <c r="AE13" s="10"/>
    </row>
    <row r="14" spans="1:32" ht="21" customHeight="1" x14ac:dyDescent="0.35">
      <c r="A14" s="38"/>
      <c r="B14" s="38"/>
      <c r="C14" s="38"/>
      <c r="D14" s="38"/>
      <c r="E14" s="9"/>
      <c r="F14" s="9"/>
      <c r="G14" s="9"/>
      <c r="H14" s="9"/>
      <c r="I14" s="9"/>
      <c r="J14" s="9"/>
      <c r="K14" s="9"/>
      <c r="L14" s="9"/>
      <c r="M14" s="9"/>
      <c r="N14" s="9"/>
      <c r="O14" s="9"/>
      <c r="P14" s="9"/>
      <c r="Q14" s="9"/>
      <c r="R14" s="9"/>
      <c r="S14" s="9"/>
      <c r="T14" s="9"/>
      <c r="U14" s="9"/>
      <c r="V14" s="9"/>
      <c r="W14" s="9"/>
      <c r="X14" s="9"/>
      <c r="Y14" s="25" t="s">
        <v>60</v>
      </c>
      <c r="Z14" s="26"/>
      <c r="AA14" s="26"/>
      <c r="AB14" s="26"/>
      <c r="AC14" s="26"/>
      <c r="AD14" s="10"/>
      <c r="AE14" s="10"/>
    </row>
    <row r="15" spans="1:32" ht="21" customHeight="1" x14ac:dyDescent="0.35">
      <c r="A15" s="38"/>
      <c r="B15" s="38"/>
      <c r="C15" s="38"/>
      <c r="D15" s="38"/>
      <c r="E15" s="9"/>
      <c r="F15" s="9"/>
      <c r="G15" s="9"/>
      <c r="H15" s="9"/>
      <c r="I15" s="9"/>
      <c r="J15" s="9"/>
      <c r="K15" s="9"/>
      <c r="L15" s="9"/>
      <c r="M15" s="9"/>
      <c r="N15" s="9"/>
      <c r="O15" s="9"/>
      <c r="P15" s="9"/>
      <c r="Q15" s="9"/>
      <c r="R15" s="9"/>
      <c r="S15" s="9"/>
      <c r="T15" s="9"/>
      <c r="U15" s="9"/>
      <c r="V15" s="9"/>
      <c r="W15" s="9"/>
      <c r="X15" s="9"/>
      <c r="Y15" s="13" t="s">
        <v>61</v>
      </c>
      <c r="Z15" s="13"/>
      <c r="AA15" s="13"/>
      <c r="AB15" s="13"/>
      <c r="AC15" s="13"/>
      <c r="AD15" s="13"/>
      <c r="AE15" s="13"/>
      <c r="AF15" s="1"/>
    </row>
    <row r="16" spans="1:32" ht="21" customHeight="1" x14ac:dyDescent="0.35">
      <c r="A16" s="38"/>
      <c r="B16" s="38"/>
      <c r="C16" s="38"/>
      <c r="D16" s="38"/>
      <c r="E16" s="9"/>
      <c r="F16" s="9"/>
      <c r="G16" s="9"/>
      <c r="H16" s="9"/>
      <c r="I16" s="9"/>
      <c r="J16" s="9"/>
      <c r="K16" s="9"/>
      <c r="L16" s="9"/>
      <c r="M16" s="9"/>
      <c r="N16" s="9"/>
      <c r="O16" s="9"/>
      <c r="P16" s="9"/>
      <c r="Q16" s="9"/>
      <c r="R16" s="9"/>
      <c r="S16" s="9"/>
      <c r="T16" s="9"/>
      <c r="U16" s="9"/>
      <c r="V16" s="9"/>
      <c r="W16" s="9"/>
      <c r="X16" s="9"/>
      <c r="Y16" s="13" t="s">
        <v>62</v>
      </c>
      <c r="Z16" s="13"/>
      <c r="AA16" s="13"/>
      <c r="AB16" s="13"/>
      <c r="AC16" s="13"/>
      <c r="AD16" s="13"/>
      <c r="AE16" s="13"/>
    </row>
    <row r="17" spans="1:32" ht="21" customHeight="1" x14ac:dyDescent="0.35">
      <c r="A17" s="38"/>
      <c r="B17" s="38"/>
      <c r="C17" s="38"/>
      <c r="D17" s="38"/>
      <c r="E17" s="9"/>
      <c r="F17" s="9"/>
      <c r="G17" s="9"/>
      <c r="H17" s="9"/>
      <c r="I17" s="9"/>
      <c r="J17" s="9"/>
      <c r="K17" s="9"/>
      <c r="L17" s="9"/>
      <c r="M17" s="9"/>
      <c r="N17" s="9"/>
      <c r="O17" s="9"/>
      <c r="P17" s="9"/>
      <c r="Q17" s="9"/>
      <c r="R17" s="9"/>
      <c r="S17" s="9"/>
      <c r="T17" s="9"/>
      <c r="U17" s="9"/>
      <c r="V17" s="9"/>
      <c r="W17" s="9"/>
      <c r="X17" s="9"/>
      <c r="Y17" s="13" t="s">
        <v>63</v>
      </c>
      <c r="Z17" s="13"/>
      <c r="AA17" s="13"/>
      <c r="AB17" s="13"/>
      <c r="AC17" s="13"/>
      <c r="AD17" s="13"/>
      <c r="AE17" s="13"/>
      <c r="AF17" s="1"/>
    </row>
    <row r="18" spans="1:32" ht="21" customHeight="1" x14ac:dyDescent="0.3">
      <c r="A18" s="38"/>
      <c r="B18" s="38"/>
      <c r="C18" s="38"/>
      <c r="D18" s="38"/>
      <c r="E18" s="9"/>
      <c r="F18" s="9"/>
      <c r="G18" s="9"/>
      <c r="H18" s="9"/>
      <c r="I18" s="9"/>
      <c r="J18" s="9"/>
      <c r="K18" s="9"/>
      <c r="L18" s="9"/>
      <c r="M18" s="9"/>
      <c r="N18" s="9"/>
      <c r="O18" s="9"/>
      <c r="P18" s="9"/>
      <c r="Q18" s="9"/>
      <c r="R18" s="9"/>
      <c r="S18" s="9"/>
      <c r="T18" s="9"/>
      <c r="U18" s="9"/>
      <c r="V18" s="9"/>
      <c r="W18" s="9"/>
      <c r="X18" s="9"/>
      <c r="Y18" s="10"/>
      <c r="Z18" s="10"/>
      <c r="AA18" s="10"/>
      <c r="AB18" s="10"/>
      <c r="AC18" s="10"/>
      <c r="AD18" s="10"/>
      <c r="AE18" s="10"/>
    </row>
    <row r="19" spans="1:32" x14ac:dyDescent="0.3">
      <c r="A19" s="38"/>
      <c r="B19" s="38"/>
      <c r="C19" s="38"/>
      <c r="D19" s="38"/>
      <c r="E19" s="9"/>
      <c r="F19" s="9"/>
      <c r="G19" s="9"/>
      <c r="H19" s="9"/>
      <c r="I19" s="9"/>
      <c r="J19" s="9"/>
      <c r="K19" s="9"/>
      <c r="L19" s="9"/>
      <c r="M19" s="9"/>
      <c r="N19" s="9"/>
      <c r="O19" s="9"/>
      <c r="P19" s="9"/>
      <c r="Q19" s="9"/>
      <c r="R19" s="9"/>
      <c r="S19" s="9"/>
      <c r="T19" s="9"/>
      <c r="U19" s="9"/>
      <c r="V19" s="9"/>
      <c r="W19" s="9"/>
      <c r="X19" s="9"/>
      <c r="Y19" s="10"/>
      <c r="Z19" s="10"/>
      <c r="AA19" s="10"/>
      <c r="AB19" s="10"/>
      <c r="AC19" s="10"/>
      <c r="AD19" s="10"/>
      <c r="AE19" s="10"/>
    </row>
    <row r="20" spans="1:32" ht="17.399999999999999" x14ac:dyDescent="0.3">
      <c r="A20" s="38"/>
      <c r="B20" s="38"/>
      <c r="C20" s="38"/>
      <c r="D20" s="38"/>
      <c r="E20" s="9"/>
      <c r="F20" s="9"/>
      <c r="G20" s="9"/>
      <c r="H20" s="9"/>
      <c r="I20" s="9"/>
      <c r="J20" s="9"/>
      <c r="K20" s="9"/>
      <c r="L20" s="9"/>
      <c r="M20" s="9"/>
      <c r="N20" s="9"/>
      <c r="O20" s="9"/>
      <c r="P20" s="9"/>
      <c r="Q20" s="9"/>
      <c r="R20" s="9"/>
      <c r="S20" s="9"/>
      <c r="T20" s="9"/>
      <c r="U20" s="9"/>
      <c r="V20" s="9"/>
      <c r="W20" s="9"/>
      <c r="X20" s="9"/>
      <c r="Y20" s="22"/>
      <c r="Z20" s="22"/>
      <c r="AA20" s="22"/>
      <c r="AB20" s="22"/>
      <c r="AC20" s="22"/>
      <c r="AD20" s="10"/>
      <c r="AE20" s="10"/>
    </row>
    <row r="21" spans="1:32" ht="19.95" customHeight="1" x14ac:dyDescent="0.3">
      <c r="A21" s="38"/>
      <c r="B21" s="38"/>
      <c r="C21" s="38"/>
      <c r="D21" s="38"/>
      <c r="E21" s="9"/>
      <c r="F21" s="9"/>
      <c r="G21" s="9"/>
      <c r="H21" s="9"/>
      <c r="I21" s="9"/>
      <c r="J21" s="9"/>
      <c r="K21" s="9"/>
      <c r="L21" s="9"/>
      <c r="M21" s="9"/>
      <c r="N21" s="9"/>
      <c r="O21" s="9"/>
      <c r="P21" s="9"/>
      <c r="Q21" s="9"/>
      <c r="R21" s="9"/>
      <c r="S21" s="9"/>
      <c r="T21" s="9"/>
      <c r="U21" s="9"/>
      <c r="V21" s="9"/>
      <c r="W21" s="9"/>
      <c r="X21" s="9"/>
      <c r="Y21" s="22" t="s">
        <v>64</v>
      </c>
      <c r="Z21" s="22"/>
      <c r="AA21" s="22"/>
      <c r="AB21" s="22"/>
      <c r="AC21" s="10"/>
      <c r="AD21" s="10"/>
      <c r="AE21" s="10"/>
    </row>
    <row r="22" spans="1:32" ht="19.95" customHeight="1" x14ac:dyDescent="0.35">
      <c r="A22" s="38"/>
      <c r="B22" s="38"/>
      <c r="C22" s="38"/>
      <c r="D22" s="38"/>
      <c r="E22" s="9"/>
      <c r="F22" s="9"/>
      <c r="G22" s="9"/>
      <c r="H22" s="9"/>
      <c r="I22" s="9"/>
      <c r="J22" s="9"/>
      <c r="K22" s="9"/>
      <c r="L22" s="9"/>
      <c r="M22" s="9"/>
      <c r="N22" s="9"/>
      <c r="O22" s="9"/>
      <c r="P22" s="9"/>
      <c r="Q22" s="9"/>
      <c r="R22" s="9"/>
      <c r="S22" s="9"/>
      <c r="T22" s="9"/>
      <c r="U22" s="9"/>
      <c r="V22" s="9"/>
      <c r="W22" s="9"/>
      <c r="X22" s="9"/>
      <c r="Y22" s="21" t="s">
        <v>65</v>
      </c>
      <c r="Z22" s="21"/>
      <c r="AA22" s="21"/>
      <c r="AB22" s="21"/>
      <c r="AC22" s="21"/>
      <c r="AD22" s="21"/>
      <c r="AE22" s="21"/>
    </row>
    <row r="23" spans="1:32" ht="19.95" customHeight="1" x14ac:dyDescent="0.35">
      <c r="A23" s="38"/>
      <c r="B23" s="38"/>
      <c r="C23" s="38"/>
      <c r="D23" s="38"/>
      <c r="E23" s="9"/>
      <c r="F23" s="9"/>
      <c r="G23" s="9"/>
      <c r="H23" s="9"/>
      <c r="I23" s="9"/>
      <c r="J23" s="9"/>
      <c r="K23" s="9"/>
      <c r="L23" s="9"/>
      <c r="M23" s="9"/>
      <c r="N23" s="9"/>
      <c r="O23" s="9"/>
      <c r="P23" s="9"/>
      <c r="Q23" s="9"/>
      <c r="R23" s="9"/>
      <c r="S23" s="9"/>
      <c r="T23" s="9"/>
      <c r="U23" s="9"/>
      <c r="V23" s="9"/>
      <c r="W23" s="9"/>
      <c r="X23" s="9"/>
      <c r="Y23" s="21" t="s">
        <v>66</v>
      </c>
      <c r="Z23" s="21"/>
      <c r="AA23" s="21"/>
      <c r="AB23" s="21"/>
      <c r="AC23" s="21"/>
      <c r="AD23" s="21"/>
      <c r="AE23" s="21"/>
    </row>
    <row r="24" spans="1:32" ht="19.95" customHeight="1" x14ac:dyDescent="0.35">
      <c r="A24" s="38"/>
      <c r="B24" s="38"/>
      <c r="C24" s="38"/>
      <c r="D24" s="38"/>
      <c r="E24" s="9"/>
      <c r="F24" s="9"/>
      <c r="G24" s="9"/>
      <c r="H24" s="9"/>
      <c r="I24" s="9"/>
      <c r="J24" s="9"/>
      <c r="K24" s="9"/>
      <c r="L24" s="9"/>
      <c r="M24" s="9"/>
      <c r="N24" s="9"/>
      <c r="O24" s="9"/>
      <c r="P24" s="9"/>
      <c r="Q24" s="9"/>
      <c r="R24" s="9"/>
      <c r="S24" s="9"/>
      <c r="T24" s="9"/>
      <c r="U24" s="9"/>
      <c r="V24" s="9"/>
      <c r="W24" s="9"/>
      <c r="X24" s="9"/>
      <c r="Y24" s="21" t="s">
        <v>67</v>
      </c>
      <c r="Z24" s="21"/>
      <c r="AA24" s="21"/>
      <c r="AB24" s="21"/>
      <c r="AC24" s="21"/>
      <c r="AD24" s="21"/>
      <c r="AE24" s="20"/>
    </row>
    <row r="25" spans="1:32" ht="19.95" customHeight="1" x14ac:dyDescent="0.35">
      <c r="A25" s="38"/>
      <c r="B25" s="38"/>
      <c r="C25" s="38"/>
      <c r="D25" s="38"/>
      <c r="E25" s="9"/>
      <c r="F25" s="9"/>
      <c r="G25" s="9"/>
      <c r="H25" s="9"/>
      <c r="I25" s="9"/>
      <c r="J25" s="9"/>
      <c r="K25" s="9"/>
      <c r="L25" s="9"/>
      <c r="M25" s="9"/>
      <c r="N25" s="9"/>
      <c r="O25" s="9"/>
      <c r="P25" s="9"/>
      <c r="Q25" s="9"/>
      <c r="R25" s="9"/>
      <c r="S25" s="9"/>
      <c r="T25" s="9"/>
      <c r="U25" s="9"/>
      <c r="V25" s="9"/>
      <c r="W25" s="9"/>
      <c r="X25" s="9"/>
      <c r="Y25" s="21" t="s">
        <v>68</v>
      </c>
      <c r="Z25" s="21"/>
      <c r="AA25" s="21"/>
      <c r="AB25" s="21"/>
      <c r="AC25" s="21"/>
      <c r="AD25" s="21"/>
      <c r="AE25" s="20"/>
    </row>
    <row r="26" spans="1:32" ht="19.95" customHeight="1" x14ac:dyDescent="0.35">
      <c r="A26" s="38"/>
      <c r="B26" s="38"/>
      <c r="C26" s="38"/>
      <c r="D26" s="38"/>
      <c r="E26" s="9"/>
      <c r="F26" s="9"/>
      <c r="G26" s="9"/>
      <c r="H26" s="9"/>
      <c r="I26" s="9"/>
      <c r="J26" s="9"/>
      <c r="K26" s="9"/>
      <c r="L26" s="9"/>
      <c r="M26" s="9"/>
      <c r="N26" s="9"/>
      <c r="O26" s="9"/>
      <c r="P26" s="9"/>
      <c r="Q26" s="9"/>
      <c r="R26" s="9"/>
      <c r="S26" s="9"/>
      <c r="T26" s="9"/>
      <c r="U26" s="9"/>
      <c r="V26" s="9"/>
      <c r="W26" s="9"/>
      <c r="X26" s="9"/>
      <c r="Y26" s="21" t="s">
        <v>69</v>
      </c>
      <c r="Z26" s="21"/>
      <c r="AA26" s="21"/>
      <c r="AB26" s="21"/>
      <c r="AC26" s="21"/>
      <c r="AD26" s="21"/>
      <c r="AE26" s="20"/>
    </row>
    <row r="27" spans="1:32" x14ac:dyDescent="0.3">
      <c r="A27" s="38"/>
      <c r="B27" s="38"/>
      <c r="C27" s="38"/>
      <c r="D27" s="38"/>
      <c r="E27" s="9"/>
      <c r="F27" s="9"/>
      <c r="G27" s="9"/>
      <c r="H27" s="9"/>
      <c r="I27" s="9"/>
      <c r="J27" s="9"/>
      <c r="K27" s="9"/>
      <c r="L27" s="9"/>
      <c r="M27" s="9"/>
      <c r="N27" s="9"/>
      <c r="O27" s="9"/>
      <c r="P27" s="9"/>
      <c r="Q27" s="9"/>
      <c r="R27" s="9"/>
      <c r="S27" s="9"/>
      <c r="T27" s="9"/>
      <c r="U27" s="9"/>
      <c r="V27" s="9"/>
      <c r="W27" s="9"/>
      <c r="X27" s="9"/>
      <c r="Y27" s="10"/>
      <c r="Z27" s="10"/>
      <c r="AA27" s="10"/>
      <c r="AB27" s="10"/>
      <c r="AC27" s="10"/>
      <c r="AD27" s="10"/>
      <c r="AE27" s="10"/>
    </row>
    <row r="28" spans="1:32" x14ac:dyDescent="0.3">
      <c r="A28" s="38"/>
      <c r="B28" s="38"/>
      <c r="C28" s="38"/>
      <c r="D28" s="38"/>
      <c r="E28" s="9"/>
      <c r="F28" s="9"/>
      <c r="G28" s="9"/>
      <c r="H28" s="9"/>
      <c r="I28" s="9"/>
      <c r="J28" s="9"/>
      <c r="K28" s="9"/>
      <c r="L28" s="9"/>
      <c r="M28" s="9"/>
      <c r="N28" s="9"/>
      <c r="O28" s="9"/>
      <c r="P28" s="9"/>
      <c r="Q28" s="9"/>
      <c r="R28" s="9"/>
      <c r="S28" s="9"/>
      <c r="T28" s="9"/>
      <c r="U28" s="9"/>
      <c r="V28" s="9"/>
      <c r="W28" s="9"/>
      <c r="X28" s="9"/>
      <c r="Y28" s="10"/>
      <c r="Z28" s="10"/>
      <c r="AA28" s="10"/>
      <c r="AB28" s="10"/>
      <c r="AC28" s="10"/>
      <c r="AD28" s="10"/>
      <c r="AE28" s="10"/>
    </row>
    <row r="29" spans="1:32" x14ac:dyDescent="0.3">
      <c r="A29" s="38"/>
      <c r="B29" s="38"/>
      <c r="C29" s="38"/>
      <c r="D29" s="38"/>
      <c r="E29" s="9"/>
      <c r="F29" s="9"/>
      <c r="G29" s="9"/>
      <c r="H29" s="9"/>
      <c r="I29" s="9"/>
      <c r="J29" s="9"/>
      <c r="K29" s="9"/>
      <c r="L29" s="9"/>
      <c r="M29" s="9"/>
      <c r="N29" s="9"/>
      <c r="O29" s="9"/>
      <c r="P29" s="9"/>
      <c r="Q29" s="9"/>
      <c r="R29" s="9"/>
      <c r="S29" s="9"/>
      <c r="T29" s="9"/>
      <c r="U29" s="9"/>
      <c r="V29" s="9"/>
      <c r="W29" s="9"/>
      <c r="X29" s="9"/>
      <c r="Y29" s="10"/>
      <c r="Z29" s="10"/>
      <c r="AA29" s="10"/>
      <c r="AB29" s="10"/>
      <c r="AC29" s="10"/>
      <c r="AD29" s="10"/>
      <c r="AE29" s="10"/>
    </row>
    <row r="30" spans="1:32" x14ac:dyDescent="0.3">
      <c r="A30" s="38"/>
      <c r="B30" s="38"/>
      <c r="C30" s="38"/>
      <c r="D30" s="38"/>
      <c r="E30" s="9"/>
      <c r="F30" s="9"/>
      <c r="G30" s="9"/>
      <c r="H30" s="9"/>
      <c r="I30" s="9"/>
      <c r="J30" s="9"/>
      <c r="K30" s="9"/>
      <c r="L30" s="9"/>
      <c r="M30" s="9"/>
      <c r="N30" s="9"/>
      <c r="O30" s="9"/>
      <c r="P30" s="9"/>
      <c r="Q30" s="9"/>
      <c r="R30" s="9"/>
      <c r="S30" s="9"/>
      <c r="T30" s="9"/>
      <c r="U30" s="9"/>
      <c r="V30" s="9"/>
      <c r="W30" s="9"/>
      <c r="X30" s="9"/>
      <c r="Y30" s="10"/>
      <c r="Z30" s="10"/>
      <c r="AA30" s="10"/>
      <c r="AB30" s="10"/>
      <c r="AC30" s="10"/>
      <c r="AD30" s="10"/>
      <c r="AE30" s="10"/>
    </row>
    <row r="31" spans="1:32" x14ac:dyDescent="0.3">
      <c r="A31" s="38"/>
      <c r="B31" s="38"/>
      <c r="C31" s="38"/>
      <c r="D31" s="38"/>
      <c r="E31" s="9"/>
      <c r="F31" s="9"/>
      <c r="G31" s="9"/>
      <c r="H31" s="9"/>
      <c r="I31" s="9"/>
      <c r="J31" s="9"/>
      <c r="K31" s="9"/>
      <c r="L31" s="9"/>
      <c r="M31" s="9"/>
      <c r="N31" s="9"/>
      <c r="O31" s="9"/>
      <c r="P31" s="9"/>
      <c r="Q31" s="9"/>
      <c r="R31" s="9"/>
      <c r="S31" s="9"/>
      <c r="T31" s="9"/>
      <c r="U31" s="9"/>
      <c r="V31" s="9"/>
      <c r="W31" s="9"/>
      <c r="X31" s="9"/>
      <c r="Y31" s="10"/>
      <c r="Z31" s="10"/>
      <c r="AA31" s="10"/>
      <c r="AB31" s="10"/>
      <c r="AC31" s="10"/>
      <c r="AD31" s="10"/>
      <c r="AE31" s="10"/>
    </row>
    <row r="32" spans="1:32" x14ac:dyDescent="0.3">
      <c r="A32" s="38"/>
      <c r="B32" s="38"/>
      <c r="C32" s="38"/>
      <c r="D32" s="38"/>
      <c r="E32" s="9"/>
      <c r="F32" s="9"/>
      <c r="G32" s="9"/>
      <c r="H32" s="9"/>
      <c r="I32" s="9"/>
      <c r="J32" s="9"/>
      <c r="K32" s="9"/>
      <c r="L32" s="9"/>
      <c r="M32" s="9"/>
      <c r="N32" s="9"/>
      <c r="O32" s="9"/>
      <c r="P32" s="9"/>
      <c r="Q32" s="9"/>
      <c r="R32" s="9"/>
      <c r="S32" s="9"/>
      <c r="T32" s="9"/>
      <c r="U32" s="9"/>
      <c r="V32" s="9"/>
      <c r="W32" s="9"/>
      <c r="X32" s="9"/>
      <c r="Y32" s="10"/>
      <c r="Z32" s="10"/>
      <c r="AA32" s="10"/>
      <c r="AB32" s="10"/>
      <c r="AC32" s="10"/>
      <c r="AD32" s="10"/>
      <c r="AE32" s="10"/>
    </row>
    <row r="33" spans="1:31" x14ac:dyDescent="0.3">
      <c r="A33" s="38"/>
      <c r="B33" s="38"/>
      <c r="C33" s="38"/>
      <c r="D33" s="38"/>
      <c r="E33" s="9"/>
      <c r="F33" s="9"/>
      <c r="G33" s="9"/>
      <c r="H33" s="9"/>
      <c r="I33" s="9"/>
      <c r="J33" s="9"/>
      <c r="K33" s="9"/>
      <c r="L33" s="9"/>
      <c r="M33" s="9"/>
      <c r="N33" s="9"/>
      <c r="O33" s="9"/>
      <c r="P33" s="9"/>
      <c r="Q33" s="9"/>
      <c r="R33" s="9"/>
      <c r="S33" s="9"/>
      <c r="T33" s="9"/>
      <c r="U33" s="9"/>
      <c r="V33" s="9"/>
      <c r="W33" s="9"/>
      <c r="X33" s="9"/>
      <c r="Y33" s="10"/>
      <c r="Z33" s="10"/>
      <c r="AA33" s="10"/>
      <c r="AB33" s="10"/>
      <c r="AC33" s="10"/>
      <c r="AD33" s="10"/>
      <c r="AE33" s="10"/>
    </row>
    <row r="34" spans="1:31" x14ac:dyDescent="0.3">
      <c r="A34" s="38"/>
      <c r="B34" s="38"/>
      <c r="C34" s="38"/>
      <c r="D34" s="38"/>
      <c r="E34" s="9"/>
      <c r="F34" s="9"/>
      <c r="G34" s="9"/>
      <c r="H34" s="9"/>
      <c r="I34" s="9"/>
      <c r="J34" s="9"/>
      <c r="K34" s="9"/>
      <c r="L34" s="9"/>
      <c r="M34" s="9"/>
      <c r="N34" s="9"/>
      <c r="O34" s="9"/>
      <c r="P34" s="9"/>
      <c r="Q34" s="9"/>
      <c r="R34" s="9"/>
      <c r="S34" s="9"/>
      <c r="T34" s="9"/>
      <c r="U34" s="9"/>
      <c r="V34" s="9"/>
      <c r="W34" s="9"/>
      <c r="X34" s="9"/>
      <c r="Y34" s="10"/>
      <c r="Z34" s="10"/>
      <c r="AA34" s="10"/>
      <c r="AB34" s="10"/>
      <c r="AC34" s="10"/>
      <c r="AD34" s="10"/>
      <c r="AE34" s="10"/>
    </row>
    <row r="35" spans="1:31" x14ac:dyDescent="0.3">
      <c r="A35" s="38"/>
      <c r="B35" s="38"/>
      <c r="C35" s="38"/>
      <c r="D35" s="38"/>
      <c r="E35" s="9"/>
      <c r="F35" s="9"/>
      <c r="G35" s="9"/>
      <c r="H35" s="9"/>
      <c r="I35" s="9"/>
      <c r="J35" s="9"/>
      <c r="K35" s="9"/>
      <c r="L35" s="9"/>
      <c r="M35" s="9"/>
      <c r="N35" s="9"/>
      <c r="O35" s="9"/>
      <c r="P35" s="9"/>
      <c r="Q35" s="9"/>
      <c r="R35" s="9"/>
      <c r="S35" s="9"/>
      <c r="T35" s="9"/>
      <c r="U35" s="9"/>
      <c r="V35" s="9"/>
      <c r="W35" s="9"/>
      <c r="X35" s="9"/>
      <c r="Y35" s="10"/>
      <c r="Z35" s="10"/>
      <c r="AA35" s="10"/>
      <c r="AB35" s="10"/>
      <c r="AC35" s="10"/>
      <c r="AD35" s="10"/>
      <c r="AE35" s="10"/>
    </row>
  </sheetData>
  <mergeCells count="25">
    <mergeCell ref="D1:Y2"/>
    <mergeCell ref="N4:P4"/>
    <mergeCell ref="N5:P6"/>
    <mergeCell ref="Q4:S4"/>
    <mergeCell ref="Q5:S6"/>
    <mergeCell ref="E4:G4"/>
    <mergeCell ref="E5:G6"/>
    <mergeCell ref="H4:J4"/>
    <mergeCell ref="H5:J6"/>
    <mergeCell ref="K4:M4"/>
    <mergeCell ref="K5:M6"/>
    <mergeCell ref="A3:D35"/>
    <mergeCell ref="A1:C2"/>
    <mergeCell ref="Y8:AE8"/>
    <mergeCell ref="Y9:AE9"/>
    <mergeCell ref="Y10:AE10"/>
    <mergeCell ref="Y13:AB13"/>
    <mergeCell ref="Y14:AC14"/>
    <mergeCell ref="Y24:AD24"/>
    <mergeCell ref="Y25:AD25"/>
    <mergeCell ref="Y26:AD26"/>
    <mergeCell ref="Y21:AB21"/>
    <mergeCell ref="Y20:AC20"/>
    <mergeCell ref="Y22:AE22"/>
    <mergeCell ref="Y23:AE2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vt:lpstr>
      <vt:lpstr>smoker_across_region</vt:lpstr>
      <vt:lpstr>regional_Expenditure</vt:lpstr>
      <vt:lpstr>average cost</vt:lpstr>
      <vt:lpstr>patient across health fac.</vt:lpstr>
      <vt:lpstr>Sheet11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2026-05-28T06:11:18Z</dcterms:created>
  <dcterms:modified xsi:type="dcterms:W3CDTF">2026-06-01T06:45:30Z</dcterms:modified>
</cp:coreProperties>
</file>