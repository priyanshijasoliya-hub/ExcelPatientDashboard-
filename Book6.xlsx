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 activeTab="1"/>
  </bookViews>
  <sheets>
    <sheet name="Sheet2" sheetId="2" r:id="rId1"/>
    <sheet name="Sheet3" sheetId="3" r:id="rId2"/>
    <sheet name="Sheet6" sheetId="6" r:id="rId3"/>
    <sheet name="Sheet1" sheetId="1" r:id="rId4"/>
  </sheets>
  <calcPr calcId="162913"/>
  <pivotCaches>
    <pivotCache cacheId="25" r:id="rId5"/>
    <pivotCache cacheId="2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<sst xmlns="http://schemas.openxmlformats.org/spreadsheetml/2006/main" count="98" uniqueCount="21">
  <si>
    <t>SL</t>
  </si>
  <si>
    <t>Product Type</t>
  </si>
  <si>
    <t>Region</t>
  </si>
  <si>
    <t>Quantity</t>
  </si>
  <si>
    <t>Unit Price</t>
  </si>
  <si>
    <t>Cost</t>
  </si>
  <si>
    <t>Revenue</t>
  </si>
  <si>
    <t>Refrigerator</t>
  </si>
  <si>
    <t>North</t>
  </si>
  <si>
    <t>TV</t>
  </si>
  <si>
    <t>East</t>
  </si>
  <si>
    <t>Air Condition</t>
  </si>
  <si>
    <t>West</t>
  </si>
  <si>
    <t>Home Theater</t>
  </si>
  <si>
    <t>South</t>
  </si>
  <si>
    <t>Mobile</t>
  </si>
  <si>
    <t>Row Labels</t>
  </si>
  <si>
    <t>Grand Total</t>
  </si>
  <si>
    <t>Sum of Cost</t>
  </si>
  <si>
    <t>Sum of Revenue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</si>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</sst>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₹&quot;\ #,##0.00;[Red]&quot;₹&quot;\ \-#,##0.00"/>
    <numFmt numFmtId="170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2" fillId="0" borderId="1" xfId="0" applyNumberFormat="1" applyFont="1" applyBorder="1" applyAlignment="1">
      <alignment horizontal="left" vertical="center" wrapText="1" indent="1" readingOrder="1"/>
    </xf>
    <xf numFmtId="2" fontId="1" fillId="0" borderId="1" xfId="0" applyNumberFormat="1" applyFont="1" applyBorder="1" applyAlignment="1">
      <alignment horizontal="left" vertical="center" wrapText="1" indent="1" readingOrder="1"/>
    </xf>
    <xf numFmtId="2" fontId="0" fillId="0" borderId="0" xfId="0" applyNumberFormat="1"/>
    <xf numFmtId="8" fontId="2" fillId="0" borderId="1" xfId="0" applyNumberFormat="1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vertical="center" wrapText="1" readingOrder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7.440314236112" createdVersion="6" refreshedVersion="6" minRefreshableVersion="3" recordCount="17">
  <cacheSource type="worksheet">
    <worksheetSource ref="A1:I18" sheet="Sheet1"/>
  </cacheSource>
  <cacheFields count="9">
    <cacheField name="SL" numFmtId="0">
      <sharedItems containsSemiMixedTypes="0" containsString="0" containsNumber="1" containsInteger="1" minValue="1123" maxValue="6215"/>
    </cacheField>
    <cacheField name="Product Type" numFmtId="0">
      <sharedItems count="5">
        <s v="Refrigerator"/>
        <s v="TV"/>
        <s v="Air Condition"/>
        <s v="Home Theater"/>
        <s v="Mobile"/>
      </sharedItems>
    </cacheField>
    <cacheField name="Region" numFmtId="0">
      <sharedItems count="4">
        <s v="North"/>
        <s v="East"/>
        <s v="West"/>
        <s v="South"/>
      </sharedItems>
    </cacheField>
    <cacheField name="Quantity" numFmtId="0">
      <sharedItems containsSemiMixedTypes="0" containsString="0" containsNumber="1" containsInteger="1" minValue="15" maxValue="95" count="17">
        <n v="54"/>
        <n v="35"/>
        <n v="45"/>
        <n v="36"/>
        <n v="85"/>
        <n v="15"/>
        <n v="95"/>
        <n v="82"/>
        <n v="25"/>
        <n v="19"/>
        <n v="75"/>
        <n v="50"/>
        <n v="23"/>
        <n v="32"/>
        <n v="40"/>
        <n v="30"/>
        <n v="21"/>
      </sharedItems>
    </cacheField>
    <cacheField name="Unit Price" numFmtId="2">
      <sharedItems count="14">
        <s v="$450"/>
        <s v="$300"/>
        <s v="$320"/>
        <s v="$510"/>
        <s v="$310"/>
        <s v="$240"/>
        <s v="$440"/>
        <s v="$490"/>
        <s v="$420"/>
        <s v="$550"/>
        <s v="$470"/>
        <s v="$500"/>
        <s v="$370"/>
        <s v="$250"/>
      </sharedItems>
    </cacheField>
    <cacheField name="Cost" numFmtId="2">
      <sharedItems/>
    </cacheField>
    <cacheField name="Revenue" numFmtId="170">
      <sharedItems containsMixedTypes="1" containsNumber="1" containsInteger="1" minValue="15000" maxValue="26000"/>
    </cacheField>
    <cacheField name="SL2" numFmtId="2">
      <sharedItems containsSemiMixedTypes="0" containsString="0" containsNumber="1" containsInteger="1" minValue="1123" maxValue="6215"/>
    </cacheField>
    <cacheField name="SL3" numFmtId="2">
      <sharedItems containsSemiMixedTypes="0" containsString="0" containsNumber="1" containsInteger="1" minValue="1123" maxValue="6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57.456569907408" createdVersion="6" refreshedVersion="6" minRefreshableVersion="3" recordCount="17">
  <cacheSource type="worksheet">
    <worksheetSource ref="A1:G18" sheet="Sheet1"/>
  </cacheSource>
  <cacheFields count="7">
    <cacheField name="SL" numFmtId="0">
      <sharedItems containsSemiMixedTypes="0" containsString="0" containsNumber="1" containsInteger="1" minValue="1123" maxValue="6215"/>
    </cacheField>
    <cacheField name="Product Type" numFmtId="0">
      <sharedItems count="5">
        <s v="Refrigerator"/>
        <s v="TV"/>
        <s v="Air Condition"/>
        <s v="Home Theater"/>
        <s v="Mobile"/>
      </sharedItems>
    </cacheField>
    <cacheField name="Region" numFmtId="0">
      <sharedItems count="4">
        <s v="North"/>
        <s v="East"/>
        <s v="West"/>
        <s v="South"/>
      </sharedItems>
    </cacheField>
    <cacheField name="Quantity" numFmtId="0">
      <sharedItems containsSemiMixedTypes="0" containsString="0" containsNumber="1" containsInteger="1" minValue="15" maxValue="95" count="17">
        <n v="54"/>
        <n v="35"/>
        <n v="60"/>
        <n v="36"/>
        <n v="85"/>
        <n v="15"/>
        <n v="95"/>
        <n v="82"/>
        <n v="25"/>
        <n v="19"/>
        <n v="75"/>
        <n v="50"/>
        <n v="23"/>
        <n v="32"/>
        <n v="40"/>
        <n v="30"/>
        <n v="21"/>
      </sharedItems>
    </cacheField>
    <cacheField name="Unit Price" numFmtId="8">
      <sharedItems containsSemiMixedTypes="0" containsString="0" containsNumber="1" containsInteger="1" minValue="240" maxValue="550" count="14">
        <n v="450"/>
        <n v="300"/>
        <n v="320"/>
        <n v="510"/>
        <n v="310"/>
        <n v="240"/>
        <n v="440"/>
        <n v="490"/>
        <n v="420"/>
        <n v="550"/>
        <n v="470"/>
        <n v="500"/>
        <n v="370"/>
        <n v="250"/>
      </sharedItems>
    </cacheField>
    <cacheField name="Cost" numFmtId="8">
      <sharedItems containsSemiMixedTypes="0" containsString="0" containsNumber="1" containsInteger="1" minValue="4650" maxValue="41250"/>
    </cacheField>
    <cacheField name="Revenue" numFmtId="8">
      <sharedItems containsSemiMixedTypes="0" containsString="0" containsNumber="1" containsInteger="1" minValue="5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n v="1123"/>
    <x v="0"/>
    <x v="0"/>
    <x v="0"/>
    <x v="0"/>
    <s v="$24,300"/>
    <n v="26000"/>
    <n v="1123"/>
    <n v="1123"/>
  </r>
  <r>
    <n v="2259"/>
    <x v="1"/>
    <x v="1"/>
    <x v="1"/>
    <x v="1"/>
    <s v="$10,500"/>
    <n v="15000"/>
    <n v="2259"/>
    <n v="2259"/>
  </r>
  <r>
    <n v="4102"/>
    <x v="1"/>
    <x v="0"/>
    <x v="2"/>
    <x v="2"/>
    <s v="$14,400"/>
    <s v="$14,000"/>
    <n v="4102"/>
    <n v="4102"/>
  </r>
  <r>
    <n v="1749"/>
    <x v="2"/>
    <x v="0"/>
    <x v="3"/>
    <x v="3"/>
    <s v="$18,360"/>
    <s v="$20,120"/>
    <n v="1749"/>
    <n v="1749"/>
  </r>
  <r>
    <n v="1221"/>
    <x v="1"/>
    <x v="2"/>
    <x v="4"/>
    <x v="1"/>
    <s v="$25,500"/>
    <s v="$28,500"/>
    <n v="1221"/>
    <n v="1221"/>
  </r>
  <r>
    <n v="3341"/>
    <x v="1"/>
    <x v="2"/>
    <x v="5"/>
    <x v="4"/>
    <s v="$4,650"/>
    <s v="$6,500"/>
    <n v="3341"/>
    <n v="3341"/>
  </r>
  <r>
    <n v="1558"/>
    <x v="3"/>
    <x v="1"/>
    <x v="6"/>
    <x v="5"/>
    <s v="$22,800"/>
    <s v="$22,000"/>
    <n v="1558"/>
    <n v="1558"/>
  </r>
  <r>
    <n v="5345"/>
    <x v="0"/>
    <x v="3"/>
    <x v="7"/>
    <x v="6"/>
    <s v="$36,080"/>
    <s v="$33,000"/>
    <n v="5345"/>
    <n v="5345"/>
  </r>
  <r>
    <n v="6215"/>
    <x v="4"/>
    <x v="3"/>
    <x v="8"/>
    <x v="7"/>
    <s v="$12,250"/>
    <s v="$15,000"/>
    <n v="6215"/>
    <n v="6215"/>
  </r>
  <r>
    <n v="2022"/>
    <x v="4"/>
    <x v="3"/>
    <x v="9"/>
    <x v="8"/>
    <s v="$7,980"/>
    <s v="$10,000"/>
    <n v="2022"/>
    <n v="2022"/>
  </r>
  <r>
    <n v="2720"/>
    <x v="2"/>
    <x v="1"/>
    <x v="10"/>
    <x v="9"/>
    <s v="$41,250"/>
    <s v="$55,000"/>
    <n v="2720"/>
    <n v="2720"/>
  </r>
  <r>
    <n v="3598"/>
    <x v="0"/>
    <x v="2"/>
    <x v="11"/>
    <x v="10"/>
    <s v="$23,500"/>
    <s v="$27,000"/>
    <n v="3598"/>
    <n v="3598"/>
  </r>
  <r>
    <n v="5299"/>
    <x v="2"/>
    <x v="2"/>
    <x v="12"/>
    <x v="11"/>
    <s v="$11,500"/>
    <s v="$10,000"/>
    <n v="5299"/>
    <n v="5299"/>
  </r>
  <r>
    <n v="5776"/>
    <x v="0"/>
    <x v="1"/>
    <x v="13"/>
    <x v="12"/>
    <s v="$11,840"/>
    <s v="$7,000"/>
    <n v="5776"/>
    <n v="5776"/>
  </r>
  <r>
    <n v="5035"/>
    <x v="1"/>
    <x v="0"/>
    <x v="14"/>
    <x v="1"/>
    <s v="$12,000"/>
    <s v="$11,000"/>
    <n v="5035"/>
    <n v="5035"/>
  </r>
  <r>
    <n v="4603"/>
    <x v="4"/>
    <x v="0"/>
    <x v="15"/>
    <x v="13"/>
    <s v="$7,500"/>
    <s v="$6,000"/>
    <n v="4603"/>
    <n v="4603"/>
  </r>
  <r>
    <n v="4735"/>
    <x v="1"/>
    <x v="3"/>
    <x v="16"/>
    <x v="2"/>
    <s v="$6,720"/>
    <s v="$5,500"/>
    <n v="4735"/>
    <n v="47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">
  <r>
    <n v="1123"/>
    <x v="0"/>
    <x v="0"/>
    <x v="0"/>
    <x v="0"/>
    <n v="25300"/>
    <n v="26000"/>
  </r>
  <r>
    <n v="2259"/>
    <x v="1"/>
    <x v="1"/>
    <x v="1"/>
    <x v="1"/>
    <n v="10500"/>
    <n v="15000"/>
  </r>
  <r>
    <n v="4102"/>
    <x v="1"/>
    <x v="0"/>
    <x v="2"/>
    <x v="2"/>
    <n v="14400"/>
    <n v="14000"/>
  </r>
  <r>
    <n v="1749"/>
    <x v="2"/>
    <x v="0"/>
    <x v="3"/>
    <x v="3"/>
    <n v="18360"/>
    <n v="20120"/>
  </r>
  <r>
    <n v="1221"/>
    <x v="1"/>
    <x v="2"/>
    <x v="4"/>
    <x v="1"/>
    <n v="25500"/>
    <n v="28500"/>
  </r>
  <r>
    <n v="3341"/>
    <x v="1"/>
    <x v="2"/>
    <x v="5"/>
    <x v="4"/>
    <n v="4650"/>
    <n v="6500"/>
  </r>
  <r>
    <n v="1558"/>
    <x v="3"/>
    <x v="1"/>
    <x v="6"/>
    <x v="5"/>
    <n v="22800"/>
    <n v="22000"/>
  </r>
  <r>
    <n v="5345"/>
    <x v="0"/>
    <x v="3"/>
    <x v="7"/>
    <x v="6"/>
    <n v="36080"/>
    <n v="33000"/>
  </r>
  <r>
    <n v="6215"/>
    <x v="4"/>
    <x v="3"/>
    <x v="8"/>
    <x v="7"/>
    <n v="12250"/>
    <n v="15000"/>
  </r>
  <r>
    <n v="2022"/>
    <x v="4"/>
    <x v="3"/>
    <x v="9"/>
    <x v="8"/>
    <n v="7980"/>
    <n v="10000"/>
  </r>
  <r>
    <n v="2720"/>
    <x v="2"/>
    <x v="1"/>
    <x v="10"/>
    <x v="9"/>
    <n v="41250"/>
    <n v="55000"/>
  </r>
  <r>
    <n v="3598"/>
    <x v="0"/>
    <x v="2"/>
    <x v="11"/>
    <x v="10"/>
    <n v="23500"/>
    <n v="27000"/>
  </r>
  <r>
    <n v="5299"/>
    <x v="2"/>
    <x v="2"/>
    <x v="12"/>
    <x v="11"/>
    <n v="11500"/>
    <n v="10000"/>
  </r>
  <r>
    <n v="5776"/>
    <x v="0"/>
    <x v="1"/>
    <x v="13"/>
    <x v="12"/>
    <n v="11840"/>
    <n v="7000"/>
  </r>
  <r>
    <n v="5035"/>
    <x v="1"/>
    <x v="0"/>
    <x v="14"/>
    <x v="1"/>
    <n v="12000"/>
    <n v="11000"/>
  </r>
  <r>
    <n v="4603"/>
    <x v="4"/>
    <x v="0"/>
    <x v="15"/>
    <x v="13"/>
    <n v="7500"/>
    <n v="6000"/>
  </r>
  <r>
    <n v="4735"/>
    <x v="1"/>
    <x v="3"/>
    <x v="16"/>
    <x v="2"/>
    <n v="6720"/>
    <n v="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2" firstHeaderRow="0" firstDataRow="1" firstDataCol="1"/>
  <pivotFields count="9"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2">
    <field x="2"/>
    <field x="1"/>
  </rowFields>
  <rowItems count="19">
    <i>
      <x/>
    </i>
    <i r="1">
      <x/>
    </i>
    <i r="1">
      <x v="1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 v="2"/>
    </i>
    <i r="1">
      <x v="3"/>
    </i>
    <i r="1">
      <x v="4"/>
    </i>
    <i>
      <x v="3"/>
    </i>
    <i r="1">
      <x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5" baseField="2" baseItem="0"/>
    <dataField name="Sum of Revenue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8" firstHeaderRow="0" firstDataRow="1" firstDataCol="1" rowPageCount="2" colPageCount="1"/>
  <pivotFields count="7">
    <pivotField showAll="0"/>
    <pivotField axis="axisRow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sortType="ascending">
      <items count="5">
        <item h="1" x="1"/>
        <item h="1" x="0"/>
        <item x="3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>
      <items count="18">
        <item h="1" x="5"/>
        <item x="9"/>
        <item h="1" x="16"/>
        <item h="1" x="12"/>
        <item h="1" x="8"/>
        <item h="1" x="15"/>
        <item h="1" x="13"/>
        <item h="1" x="1"/>
        <item h="1" x="3"/>
        <item h="1" x="14"/>
        <item h="1" x="11"/>
        <item h="1" x="0"/>
        <item h="1" x="2"/>
        <item h="1" x="10"/>
        <item h="1" x="7"/>
        <item h="1" x="4"/>
        <item h="1" x="6"/>
        <item t="default"/>
      </items>
    </pivotField>
    <pivotField axis="axisPage" numFmtId="8" showAll="0">
      <items count="15">
        <item x="5"/>
        <item x="13"/>
        <item x="1"/>
        <item x="4"/>
        <item x="2"/>
        <item x="12"/>
        <item x="8"/>
        <item x="6"/>
        <item x="0"/>
        <item x="10"/>
        <item x="7"/>
        <item x="11"/>
        <item x="3"/>
        <item x="9"/>
        <item t="default"/>
      </items>
    </pivotField>
    <pivotField dataField="1" numFmtId="8" showAll="0"/>
    <pivotField dataField="1" numFmtId="8" showAll="0"/>
  </pivotFields>
  <rowFields count="1">
    <field x="1"/>
  </rowFields>
  <rowItems count="4">
    <i>
      <x v="4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2" hier="-1"/>
  </pageFields>
  <dataFields count="2">
    <dataField name="Sum of Cost" fld="5" showDataAs="percentOfTotal" baseField="2" baseItem="0" numFmtId="10"/>
    <dataField name="Sum of Revenue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2" firstHeaderRow="0" firstDataRow="1" firstDataCol="1"/>
  <pivotFields count="7"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numFmtId="8" showAll="0"/>
    <pivotField dataField="1" numFmtId="8" showAll="0"/>
    <pivotField dataField="1" numFmtId="8" showAll="0"/>
  </pivotFields>
  <rowFields count="2">
    <field x="2"/>
    <field x="1"/>
  </rowFields>
  <rowItems count="19">
    <i>
      <x/>
    </i>
    <i r="1">
      <x/>
    </i>
    <i r="1">
      <x v="1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 v="2"/>
    </i>
    <i r="1">
      <x v="3"/>
    </i>
    <i r="1">
      <x v="4"/>
    </i>
    <i>
      <x v="3"/>
    </i>
    <i r="1">
      <x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5" baseField="2" baseItem="0"/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workbookViewId="0">
      <selection activeCell="C3" sqref="C3"/>
    </sheetView>
  </sheetViews>
  <sheetFormatPr defaultRowHeight="14.4" x14ac:dyDescent="0.3"/>
  <cols>
    <col min="1" max="1" width="16.77734375" customWidth="1"/>
    <col min="2" max="2" width="11.109375" customWidth="1"/>
    <col min="3" max="3" width="14.88671875" customWidth="1"/>
  </cols>
  <sheetData>
    <row r="3" spans="1:3" x14ac:dyDescent="0.3">
      <c r="A3" s="5" t="s">
        <v>16</v>
      </c>
      <c r="B3" t="s">
        <v>18</v>
      </c>
      <c r="C3" t="s">
        <v>19</v>
      </c>
    </row>
    <row r="4" spans="1:3" x14ac:dyDescent="0.3">
      <c r="A4" s="6" t="s">
        <v>10</v>
      </c>
      <c r="B4" s="4">
        <v>0</v>
      </c>
      <c r="C4" s="4">
        <v>15000</v>
      </c>
    </row>
    <row r="5" spans="1:3" x14ac:dyDescent="0.3">
      <c r="A5" s="7" t="s">
        <v>11</v>
      </c>
      <c r="B5" s="4">
        <v>0</v>
      </c>
      <c r="C5" s="4">
        <v>0</v>
      </c>
    </row>
    <row r="6" spans="1:3" x14ac:dyDescent="0.3">
      <c r="A6" s="7" t="s">
        <v>13</v>
      </c>
      <c r="B6" s="4">
        <v>0</v>
      </c>
      <c r="C6" s="4">
        <v>0</v>
      </c>
    </row>
    <row r="7" spans="1:3" x14ac:dyDescent="0.3">
      <c r="A7" s="7" t="s">
        <v>7</v>
      </c>
      <c r="B7" s="4">
        <v>0</v>
      </c>
      <c r="C7" s="4">
        <v>0</v>
      </c>
    </row>
    <row r="8" spans="1:3" x14ac:dyDescent="0.3">
      <c r="A8" s="7" t="s">
        <v>9</v>
      </c>
      <c r="B8" s="4">
        <v>0</v>
      </c>
      <c r="C8" s="4">
        <v>15000</v>
      </c>
    </row>
    <row r="9" spans="1:3" x14ac:dyDescent="0.3">
      <c r="A9" s="6" t="s">
        <v>8</v>
      </c>
      <c r="B9" s="4">
        <v>0</v>
      </c>
      <c r="C9" s="4">
        <v>26000</v>
      </c>
    </row>
    <row r="10" spans="1:3" x14ac:dyDescent="0.3">
      <c r="A10" s="7" t="s">
        <v>11</v>
      </c>
      <c r="B10" s="4">
        <v>0</v>
      </c>
      <c r="C10" s="4">
        <v>0</v>
      </c>
    </row>
    <row r="11" spans="1:3" x14ac:dyDescent="0.3">
      <c r="A11" s="7" t="s">
        <v>15</v>
      </c>
      <c r="B11" s="4">
        <v>0</v>
      </c>
      <c r="C11" s="4">
        <v>0</v>
      </c>
    </row>
    <row r="12" spans="1:3" x14ac:dyDescent="0.3">
      <c r="A12" s="7" t="s">
        <v>7</v>
      </c>
      <c r="B12" s="4">
        <v>0</v>
      </c>
      <c r="C12" s="4">
        <v>26000</v>
      </c>
    </row>
    <row r="13" spans="1:3" x14ac:dyDescent="0.3">
      <c r="A13" s="7" t="s">
        <v>9</v>
      </c>
      <c r="B13" s="4">
        <v>0</v>
      </c>
      <c r="C13" s="4">
        <v>0</v>
      </c>
    </row>
    <row r="14" spans="1:3" x14ac:dyDescent="0.3">
      <c r="A14" s="6" t="s">
        <v>14</v>
      </c>
      <c r="B14" s="4">
        <v>0</v>
      </c>
      <c r="C14" s="4">
        <v>0</v>
      </c>
    </row>
    <row r="15" spans="1:3" x14ac:dyDescent="0.3">
      <c r="A15" s="7" t="s">
        <v>15</v>
      </c>
      <c r="B15" s="4">
        <v>0</v>
      </c>
      <c r="C15" s="4">
        <v>0</v>
      </c>
    </row>
    <row r="16" spans="1:3" x14ac:dyDescent="0.3">
      <c r="A16" s="7" t="s">
        <v>7</v>
      </c>
      <c r="B16" s="4">
        <v>0</v>
      </c>
      <c r="C16" s="4">
        <v>0</v>
      </c>
    </row>
    <row r="17" spans="1:3" x14ac:dyDescent="0.3">
      <c r="A17" s="7" t="s">
        <v>9</v>
      </c>
      <c r="B17" s="4">
        <v>0</v>
      </c>
      <c r="C17" s="4">
        <v>0</v>
      </c>
    </row>
    <row r="18" spans="1:3" x14ac:dyDescent="0.3">
      <c r="A18" s="6" t="s">
        <v>12</v>
      </c>
      <c r="B18" s="4">
        <v>0</v>
      </c>
      <c r="C18" s="4">
        <v>0</v>
      </c>
    </row>
    <row r="19" spans="1:3" x14ac:dyDescent="0.3">
      <c r="A19" s="7" t="s">
        <v>11</v>
      </c>
      <c r="B19" s="4">
        <v>0</v>
      </c>
      <c r="C19" s="4">
        <v>0</v>
      </c>
    </row>
    <row r="20" spans="1:3" x14ac:dyDescent="0.3">
      <c r="A20" s="7" t="s">
        <v>7</v>
      </c>
      <c r="B20" s="4">
        <v>0</v>
      </c>
      <c r="C20" s="4">
        <v>0</v>
      </c>
    </row>
    <row r="21" spans="1:3" x14ac:dyDescent="0.3">
      <c r="A21" s="7" t="s">
        <v>9</v>
      </c>
      <c r="B21" s="4">
        <v>0</v>
      </c>
      <c r="C21" s="4">
        <v>0</v>
      </c>
    </row>
    <row r="22" spans="1:3" x14ac:dyDescent="0.3">
      <c r="A22" s="6" t="s">
        <v>17</v>
      </c>
      <c r="B22" s="4">
        <v>0</v>
      </c>
      <c r="C22" s="4">
        <v>41000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4" sqref="A4"/>
    </sheetView>
  </sheetViews>
  <sheetFormatPr defaultRowHeight="14.4" x14ac:dyDescent="0.3"/>
  <cols>
    <col min="1" max="1" width="12.5546875" customWidth="1"/>
    <col min="2" max="2" width="11.109375" customWidth="1"/>
    <col min="3" max="3" width="14.88671875" customWidth="1"/>
  </cols>
  <sheetData>
    <row r="1" spans="1:3" x14ac:dyDescent="0.3">
      <c r="A1" s="5" t="s">
        <v>4</v>
      </c>
      <c r="B1" t="s">
        <v>20</v>
      </c>
    </row>
    <row r="2" spans="1:3" x14ac:dyDescent="0.3">
      <c r="A2" s="5" t="s">
        <v>2</v>
      </c>
      <c r="B2" t="s">
        <v>14</v>
      </c>
    </row>
    <row r="4" spans="1:3" x14ac:dyDescent="0.3">
      <c r="A4" s="5" t="s">
        <v>16</v>
      </c>
      <c r="B4" t="s">
        <v>18</v>
      </c>
      <c r="C4" t="s">
        <v>19</v>
      </c>
    </row>
    <row r="5" spans="1:3" x14ac:dyDescent="0.3">
      <c r="A5" s="6" t="s">
        <v>9</v>
      </c>
      <c r="B5" s="14">
        <v>0.10661589719181343</v>
      </c>
      <c r="C5" s="4">
        <v>5500</v>
      </c>
    </row>
    <row r="6" spans="1:3" x14ac:dyDescent="0.3">
      <c r="A6" s="6" t="s">
        <v>15</v>
      </c>
      <c r="B6" s="14">
        <v>0.32095827383785497</v>
      </c>
      <c r="C6" s="4">
        <v>25000</v>
      </c>
    </row>
    <row r="7" spans="1:3" x14ac:dyDescent="0.3">
      <c r="A7" s="6" t="s">
        <v>7</v>
      </c>
      <c r="B7" s="14">
        <v>0.57242582897033156</v>
      </c>
      <c r="C7" s="4">
        <v>33000</v>
      </c>
    </row>
    <row r="8" spans="1:3" x14ac:dyDescent="0.3">
      <c r="A8" s="6" t="s">
        <v>17</v>
      </c>
      <c r="B8" s="14">
        <v>1</v>
      </c>
      <c r="C8" s="4">
        <v>63500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workbookViewId="0">
      <selection activeCell="B4" sqref="B4"/>
    </sheetView>
  </sheetViews>
  <sheetFormatPr defaultRowHeight="14.4" x14ac:dyDescent="0.3"/>
  <cols>
    <col min="1" max="1" width="16.77734375" bestFit="1" customWidth="1"/>
    <col min="2" max="2" width="11.109375" bestFit="1" customWidth="1"/>
    <col min="3" max="3" width="14.88671875" bestFit="1" customWidth="1"/>
  </cols>
  <sheetData>
    <row r="3" spans="1:3" x14ac:dyDescent="0.3">
      <c r="A3" s="5" t="s">
        <v>16</v>
      </c>
      <c r="B3" t="s">
        <v>18</v>
      </c>
      <c r="C3" t="s">
        <v>19</v>
      </c>
    </row>
    <row r="4" spans="1:3" x14ac:dyDescent="0.3">
      <c r="A4" s="6" t="s">
        <v>10</v>
      </c>
      <c r="B4" s="4">
        <v>86390</v>
      </c>
      <c r="C4" s="4">
        <v>99000</v>
      </c>
    </row>
    <row r="5" spans="1:3" x14ac:dyDescent="0.3">
      <c r="A5" s="7" t="s">
        <v>11</v>
      </c>
      <c r="B5" s="4">
        <v>41250</v>
      </c>
      <c r="C5" s="4">
        <v>55000</v>
      </c>
    </row>
    <row r="6" spans="1:3" x14ac:dyDescent="0.3">
      <c r="A6" s="7" t="s">
        <v>13</v>
      </c>
      <c r="B6" s="4">
        <v>22800</v>
      </c>
      <c r="C6" s="4">
        <v>22000</v>
      </c>
    </row>
    <row r="7" spans="1:3" x14ac:dyDescent="0.3">
      <c r="A7" s="7" t="s">
        <v>7</v>
      </c>
      <c r="B7" s="4">
        <v>11840</v>
      </c>
      <c r="C7" s="4">
        <v>7000</v>
      </c>
    </row>
    <row r="8" spans="1:3" x14ac:dyDescent="0.3">
      <c r="A8" s="7" t="s">
        <v>9</v>
      </c>
      <c r="B8" s="4">
        <v>10500</v>
      </c>
      <c r="C8" s="4">
        <v>15000</v>
      </c>
    </row>
    <row r="9" spans="1:3" x14ac:dyDescent="0.3">
      <c r="A9" s="6" t="s">
        <v>8</v>
      </c>
      <c r="B9" s="4">
        <v>77560</v>
      </c>
      <c r="C9" s="4">
        <v>77120</v>
      </c>
    </row>
    <row r="10" spans="1:3" x14ac:dyDescent="0.3">
      <c r="A10" s="7" t="s">
        <v>11</v>
      </c>
      <c r="B10" s="4">
        <v>18360</v>
      </c>
      <c r="C10" s="4">
        <v>20120</v>
      </c>
    </row>
    <row r="11" spans="1:3" x14ac:dyDescent="0.3">
      <c r="A11" s="7" t="s">
        <v>15</v>
      </c>
      <c r="B11" s="4">
        <v>7500</v>
      </c>
      <c r="C11" s="4">
        <v>6000</v>
      </c>
    </row>
    <row r="12" spans="1:3" x14ac:dyDescent="0.3">
      <c r="A12" s="7" t="s">
        <v>7</v>
      </c>
      <c r="B12" s="4">
        <v>25300</v>
      </c>
      <c r="C12" s="4">
        <v>26000</v>
      </c>
    </row>
    <row r="13" spans="1:3" x14ac:dyDescent="0.3">
      <c r="A13" s="7" t="s">
        <v>9</v>
      </c>
      <c r="B13" s="4">
        <v>26400</v>
      </c>
      <c r="C13" s="4">
        <v>25000</v>
      </c>
    </row>
    <row r="14" spans="1:3" x14ac:dyDescent="0.3">
      <c r="A14" s="6" t="s">
        <v>14</v>
      </c>
      <c r="B14" s="4">
        <v>63030</v>
      </c>
      <c r="C14" s="4">
        <v>63500</v>
      </c>
    </row>
    <row r="15" spans="1:3" x14ac:dyDescent="0.3">
      <c r="A15" s="7" t="s">
        <v>15</v>
      </c>
      <c r="B15" s="4">
        <v>20230</v>
      </c>
      <c r="C15" s="4">
        <v>25000</v>
      </c>
    </row>
    <row r="16" spans="1:3" x14ac:dyDescent="0.3">
      <c r="A16" s="7" t="s">
        <v>7</v>
      </c>
      <c r="B16" s="4">
        <v>36080</v>
      </c>
      <c r="C16" s="4">
        <v>33000</v>
      </c>
    </row>
    <row r="17" spans="1:3" x14ac:dyDescent="0.3">
      <c r="A17" s="7" t="s">
        <v>9</v>
      </c>
      <c r="B17" s="4">
        <v>6720</v>
      </c>
      <c r="C17" s="4">
        <v>5500</v>
      </c>
    </row>
    <row r="18" spans="1:3" x14ac:dyDescent="0.3">
      <c r="A18" s="6" t="s">
        <v>12</v>
      </c>
      <c r="B18" s="4">
        <v>65150</v>
      </c>
      <c r="C18" s="4">
        <v>72000</v>
      </c>
    </row>
    <row r="19" spans="1:3" x14ac:dyDescent="0.3">
      <c r="A19" s="7" t="s">
        <v>11</v>
      </c>
      <c r="B19" s="4">
        <v>11500</v>
      </c>
      <c r="C19" s="4">
        <v>10000</v>
      </c>
    </row>
    <row r="20" spans="1:3" x14ac:dyDescent="0.3">
      <c r="A20" s="7" t="s">
        <v>7</v>
      </c>
      <c r="B20" s="4">
        <v>23500</v>
      </c>
      <c r="C20" s="4">
        <v>27000</v>
      </c>
    </row>
    <row r="21" spans="1:3" x14ac:dyDescent="0.3">
      <c r="A21" s="7" t="s">
        <v>9</v>
      </c>
      <c r="B21" s="4">
        <v>30150</v>
      </c>
      <c r="C21" s="4">
        <v>35000</v>
      </c>
    </row>
    <row r="22" spans="1:3" x14ac:dyDescent="0.3">
      <c r="A22" s="6" t="s">
        <v>17</v>
      </c>
      <c r="B22" s="4">
        <v>292130</v>
      </c>
      <c r="C22" s="4">
        <v>311620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="76" workbookViewId="0">
      <selection sqref="A1:G18"/>
    </sheetView>
  </sheetViews>
  <sheetFormatPr defaultRowHeight="14.4" x14ac:dyDescent="0.3"/>
  <cols>
    <col min="1" max="4" width="16.77734375" customWidth="1"/>
    <col min="5" max="9" width="16.77734375" style="10" customWidth="1"/>
    <col min="13" max="13" width="17.77734375" customWidth="1"/>
  </cols>
  <sheetData>
    <row r="1" spans="1:9" ht="25.0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8" t="s">
        <v>0</v>
      </c>
      <c r="I1" s="8" t="s">
        <v>0</v>
      </c>
    </row>
    <row r="2" spans="1:9" ht="25.05" customHeight="1" thickBot="1" x14ac:dyDescent="0.35">
      <c r="A2" s="3">
        <v>1123</v>
      </c>
      <c r="B2" s="3" t="s">
        <v>7</v>
      </c>
      <c r="C2" s="3" t="s">
        <v>8</v>
      </c>
      <c r="D2" s="3">
        <v>54</v>
      </c>
      <c r="E2" s="11">
        <v>450</v>
      </c>
      <c r="F2" s="12">
        <v>25300</v>
      </c>
      <c r="G2" s="13">
        <v>26000</v>
      </c>
      <c r="H2" s="9">
        <v>1123</v>
      </c>
      <c r="I2" s="9">
        <v>1123</v>
      </c>
    </row>
    <row r="3" spans="1:9" ht="25.05" customHeight="1" thickBot="1" x14ac:dyDescent="0.35">
      <c r="A3" s="3">
        <v>2259</v>
      </c>
      <c r="B3" s="3" t="s">
        <v>9</v>
      </c>
      <c r="C3" s="3" t="s">
        <v>10</v>
      </c>
      <c r="D3" s="3">
        <v>35</v>
      </c>
      <c r="E3" s="11">
        <v>300</v>
      </c>
      <c r="F3" s="12">
        <v>10500</v>
      </c>
      <c r="G3" s="13">
        <v>15000</v>
      </c>
      <c r="H3" s="9">
        <v>2259</v>
      </c>
      <c r="I3" s="9">
        <v>2259</v>
      </c>
    </row>
    <row r="4" spans="1:9" ht="25.05" customHeight="1" thickBot="1" x14ac:dyDescent="0.35">
      <c r="A4" s="3">
        <v>4102</v>
      </c>
      <c r="B4" s="3" t="s">
        <v>9</v>
      </c>
      <c r="C4" s="3" t="s">
        <v>8</v>
      </c>
      <c r="D4" s="3">
        <v>60</v>
      </c>
      <c r="E4" s="11">
        <v>320</v>
      </c>
      <c r="F4" s="12">
        <v>14400</v>
      </c>
      <c r="G4" s="13">
        <v>14000</v>
      </c>
      <c r="H4" s="9">
        <v>4102</v>
      </c>
      <c r="I4" s="9">
        <v>4102</v>
      </c>
    </row>
    <row r="5" spans="1:9" ht="25.05" customHeight="1" thickBot="1" x14ac:dyDescent="0.35">
      <c r="A5" s="3">
        <v>1749</v>
      </c>
      <c r="B5" s="3" t="s">
        <v>11</v>
      </c>
      <c r="C5" s="3" t="s">
        <v>8</v>
      </c>
      <c r="D5" s="3">
        <v>36</v>
      </c>
      <c r="E5" s="11">
        <v>510</v>
      </c>
      <c r="F5" s="12">
        <v>18360</v>
      </c>
      <c r="G5" s="13">
        <v>20120</v>
      </c>
      <c r="H5" s="9">
        <v>1749</v>
      </c>
      <c r="I5" s="9">
        <v>1749</v>
      </c>
    </row>
    <row r="6" spans="1:9" ht="25.05" customHeight="1" thickBot="1" x14ac:dyDescent="0.35">
      <c r="A6" s="3">
        <v>1221</v>
      </c>
      <c r="B6" s="3" t="s">
        <v>9</v>
      </c>
      <c r="C6" s="3" t="s">
        <v>12</v>
      </c>
      <c r="D6" s="3">
        <v>85</v>
      </c>
      <c r="E6" s="11">
        <v>300</v>
      </c>
      <c r="F6" s="12">
        <v>25500</v>
      </c>
      <c r="G6" s="13">
        <v>28500</v>
      </c>
      <c r="H6" s="9">
        <v>1221</v>
      </c>
      <c r="I6" s="9">
        <v>1221</v>
      </c>
    </row>
    <row r="7" spans="1:9" ht="25.05" customHeight="1" thickBot="1" x14ac:dyDescent="0.35">
      <c r="A7" s="3">
        <v>3341</v>
      </c>
      <c r="B7" s="3" t="s">
        <v>9</v>
      </c>
      <c r="C7" s="3" t="s">
        <v>12</v>
      </c>
      <c r="D7" s="3">
        <v>15</v>
      </c>
      <c r="E7" s="11">
        <v>310</v>
      </c>
      <c r="F7" s="12">
        <v>4650</v>
      </c>
      <c r="G7" s="13">
        <v>6500</v>
      </c>
      <c r="H7" s="9">
        <v>3341</v>
      </c>
      <c r="I7" s="9">
        <v>3341</v>
      </c>
    </row>
    <row r="8" spans="1:9" ht="25.05" customHeight="1" thickBot="1" x14ac:dyDescent="0.35">
      <c r="A8" s="3">
        <v>1558</v>
      </c>
      <c r="B8" s="3" t="s">
        <v>13</v>
      </c>
      <c r="C8" s="3" t="s">
        <v>10</v>
      </c>
      <c r="D8" s="3">
        <v>95</v>
      </c>
      <c r="E8" s="11">
        <v>240</v>
      </c>
      <c r="F8" s="12">
        <v>22800</v>
      </c>
      <c r="G8" s="13">
        <v>22000</v>
      </c>
      <c r="H8" s="9">
        <v>1558</v>
      </c>
      <c r="I8" s="9">
        <v>1558</v>
      </c>
    </row>
    <row r="9" spans="1:9" ht="25.05" customHeight="1" thickBot="1" x14ac:dyDescent="0.35">
      <c r="A9" s="3">
        <v>5345</v>
      </c>
      <c r="B9" s="3" t="s">
        <v>7</v>
      </c>
      <c r="C9" s="3" t="s">
        <v>14</v>
      </c>
      <c r="D9" s="3">
        <v>82</v>
      </c>
      <c r="E9" s="11">
        <v>440</v>
      </c>
      <c r="F9" s="12">
        <v>36080</v>
      </c>
      <c r="G9" s="13">
        <v>33000</v>
      </c>
      <c r="H9" s="9">
        <v>5345</v>
      </c>
      <c r="I9" s="9">
        <v>5345</v>
      </c>
    </row>
    <row r="10" spans="1:9" ht="25.05" customHeight="1" thickBot="1" x14ac:dyDescent="0.35">
      <c r="A10" s="3">
        <v>6215</v>
      </c>
      <c r="B10" s="3" t="s">
        <v>15</v>
      </c>
      <c r="C10" s="3" t="s">
        <v>14</v>
      </c>
      <c r="D10" s="3">
        <v>25</v>
      </c>
      <c r="E10" s="11">
        <v>490</v>
      </c>
      <c r="F10" s="12">
        <v>12250</v>
      </c>
      <c r="G10" s="13">
        <v>15000</v>
      </c>
      <c r="H10" s="9">
        <v>6215</v>
      </c>
      <c r="I10" s="9">
        <v>6215</v>
      </c>
    </row>
    <row r="11" spans="1:9" ht="25.05" customHeight="1" thickBot="1" x14ac:dyDescent="0.35">
      <c r="A11" s="3">
        <v>2022</v>
      </c>
      <c r="B11" s="3" t="s">
        <v>15</v>
      </c>
      <c r="C11" s="3" t="s">
        <v>14</v>
      </c>
      <c r="D11" s="3">
        <v>19</v>
      </c>
      <c r="E11" s="11">
        <v>420</v>
      </c>
      <c r="F11" s="12">
        <v>7980</v>
      </c>
      <c r="G11" s="13">
        <v>10000</v>
      </c>
      <c r="H11" s="9">
        <v>2022</v>
      </c>
      <c r="I11" s="9">
        <v>2022</v>
      </c>
    </row>
    <row r="12" spans="1:9" ht="25.05" customHeight="1" thickBot="1" x14ac:dyDescent="0.35">
      <c r="A12" s="3">
        <v>2720</v>
      </c>
      <c r="B12" s="3" t="s">
        <v>11</v>
      </c>
      <c r="C12" s="3" t="s">
        <v>10</v>
      </c>
      <c r="D12" s="3">
        <v>75</v>
      </c>
      <c r="E12" s="11">
        <v>550</v>
      </c>
      <c r="F12" s="12">
        <v>41250</v>
      </c>
      <c r="G12" s="13">
        <v>55000</v>
      </c>
      <c r="H12" s="9">
        <v>2720</v>
      </c>
      <c r="I12" s="9">
        <v>2720</v>
      </c>
    </row>
    <row r="13" spans="1:9" ht="25.05" customHeight="1" thickBot="1" x14ac:dyDescent="0.35">
      <c r="A13" s="3">
        <v>3598</v>
      </c>
      <c r="B13" s="3" t="s">
        <v>7</v>
      </c>
      <c r="C13" s="3" t="s">
        <v>12</v>
      </c>
      <c r="D13" s="3">
        <v>50</v>
      </c>
      <c r="E13" s="11">
        <v>470</v>
      </c>
      <c r="F13" s="12">
        <v>23500</v>
      </c>
      <c r="G13" s="13">
        <v>27000</v>
      </c>
      <c r="H13" s="9">
        <v>3598</v>
      </c>
      <c r="I13" s="9">
        <v>3598</v>
      </c>
    </row>
    <row r="14" spans="1:9" ht="25.05" customHeight="1" thickBot="1" x14ac:dyDescent="0.35">
      <c r="A14" s="3">
        <v>5299</v>
      </c>
      <c r="B14" s="3" t="s">
        <v>11</v>
      </c>
      <c r="C14" s="3" t="s">
        <v>12</v>
      </c>
      <c r="D14" s="3">
        <v>23</v>
      </c>
      <c r="E14" s="11">
        <v>500</v>
      </c>
      <c r="F14" s="12">
        <v>11500</v>
      </c>
      <c r="G14" s="13">
        <v>10000</v>
      </c>
      <c r="H14" s="9">
        <v>5299</v>
      </c>
      <c r="I14" s="9">
        <v>5299</v>
      </c>
    </row>
    <row r="15" spans="1:9" ht="25.05" customHeight="1" thickBot="1" x14ac:dyDescent="0.35">
      <c r="A15" s="3">
        <v>5776</v>
      </c>
      <c r="B15" s="3" t="s">
        <v>7</v>
      </c>
      <c r="C15" s="3" t="s">
        <v>10</v>
      </c>
      <c r="D15" s="3">
        <v>32</v>
      </c>
      <c r="E15" s="11">
        <v>370</v>
      </c>
      <c r="F15" s="12">
        <v>11840</v>
      </c>
      <c r="G15" s="13">
        <v>7000</v>
      </c>
      <c r="H15" s="9">
        <v>5776</v>
      </c>
      <c r="I15" s="9">
        <v>5776</v>
      </c>
    </row>
    <row r="16" spans="1:9" ht="25.05" customHeight="1" thickBot="1" x14ac:dyDescent="0.35">
      <c r="A16" s="3">
        <v>5035</v>
      </c>
      <c r="B16" s="3" t="s">
        <v>9</v>
      </c>
      <c r="C16" s="3" t="s">
        <v>8</v>
      </c>
      <c r="D16" s="3">
        <v>40</v>
      </c>
      <c r="E16" s="11">
        <v>300</v>
      </c>
      <c r="F16" s="12">
        <v>12000</v>
      </c>
      <c r="G16" s="13">
        <v>11000</v>
      </c>
      <c r="H16" s="9">
        <v>5035</v>
      </c>
      <c r="I16" s="9">
        <v>5035</v>
      </c>
    </row>
    <row r="17" spans="1:9" ht="25.05" customHeight="1" thickBot="1" x14ac:dyDescent="0.35">
      <c r="A17" s="3">
        <v>4603</v>
      </c>
      <c r="B17" s="3" t="s">
        <v>15</v>
      </c>
      <c r="C17" s="3" t="s">
        <v>8</v>
      </c>
      <c r="D17" s="3">
        <v>30</v>
      </c>
      <c r="E17" s="11">
        <v>250</v>
      </c>
      <c r="F17" s="12">
        <v>7500</v>
      </c>
      <c r="G17" s="13">
        <v>6000</v>
      </c>
      <c r="H17" s="9">
        <v>4603</v>
      </c>
      <c r="I17" s="9">
        <v>4603</v>
      </c>
    </row>
    <row r="18" spans="1:9" ht="25.05" customHeight="1" thickBot="1" x14ac:dyDescent="0.35">
      <c r="A18" s="3">
        <v>4735</v>
      </c>
      <c r="B18" s="3" t="s">
        <v>9</v>
      </c>
      <c r="C18" s="3" t="s">
        <v>14</v>
      </c>
      <c r="D18" s="3">
        <v>21</v>
      </c>
      <c r="E18" s="11">
        <v>320</v>
      </c>
      <c r="F18" s="12">
        <v>6720</v>
      </c>
      <c r="G18" s="13">
        <v>5500</v>
      </c>
      <c r="H18" s="9">
        <v>4735</v>
      </c>
      <c r="I18" s="9">
        <v>4735</v>
      </c>
    </row>
    <row r="21" spans="1:9" x14ac:dyDescent="0.3">
      <c r="G21" s="10">
        <f>SUM(G2:G18)</f>
        <v>311620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2026-05-15T04:49:48Z</dcterms:created>
  <dcterms:modified xsi:type="dcterms:W3CDTF">2026-05-16T04:27:22Z</dcterms:modified>
</cp:coreProperties>
</file>